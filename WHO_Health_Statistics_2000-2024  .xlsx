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omments1.xml" ContentType="application/vnd.openxmlformats-officedocument.spreadsheetml.comments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85" windowHeight="8355" activeTab="4"/>
  </bookViews>
  <sheets>
    <sheet name="Raw Data" sheetId="1" r:id="rId1"/>
    <sheet name="Analytical Roadmap" sheetId="2" r:id="rId2"/>
    <sheet name="Analysis" sheetId="5" r:id="rId3"/>
    <sheet name="Dashboards" sheetId="6" r:id="rId4"/>
    <sheet name="Overview" sheetId="7" r:id="rId5"/>
  </sheets>
  <definedNames>
    <definedName name="Slicer_Year">#N/A</definedName>
    <definedName name="Slicer_Category">#N/A</definedName>
    <definedName name="Slicer_Region">#N/A</definedName>
    <definedName name="ExternalData_1" localSheetId="0">'Raw Data'!$A$1:$O$12</definedName>
  </definedNames>
  <calcPr calcId="144525"/>
  <pivotCaches>
    <pivotCache cacheId="0" r:id="rId7"/>
  </pivotCaches>
  <extLst>
    <ext xmlns:x14="http://schemas.microsoft.com/office/spreadsheetml/2009/9/main" uri="{BBE1A952-AA13-448e-AADC-164F8A28A991}">
      <x14:slicerCaches>
        <x14:slicerCache r:id="rId10"/>
        <x14:slicerCache r:id="rId9"/>
        <x14:slicerCache r:id="rId8"/>
      </x14:slicerCaches>
    </ext>
  </extLst>
</workbook>
</file>

<file path=xl/comments1.xml><?xml version="1.0" encoding="utf-8"?>
<comments xmlns="http://schemas.openxmlformats.org/spreadsheetml/2006/main">
  <authors>
    <author>ritam</author>
  </authors>
  <commentList>
    <comment ref="C2" authorId="0">
      <text>
        <r>
          <rPr>
            <sz val="11"/>
            <rFont val="Times New Roman"/>
            <charset val="134"/>
          </rPr>
          <t xml:space="preserve">
</t>
        </r>
        <r>
          <rPr>
            <b/>
            <sz val="11"/>
            <rFont val="Times New Roman"/>
            <charset val="134"/>
          </rPr>
          <t xml:space="preserve">What is the average value or data distribution across each WHO Region for active indicators.
</t>
        </r>
      </text>
    </comment>
    <comment ref="J2" authorId="0">
      <text>
        <r>
          <rPr>
            <sz val="9"/>
            <rFont val="Times New Roman"/>
            <charset val="134"/>
          </rPr>
          <t xml:space="preserve">
</t>
        </r>
        <r>
          <rPr>
            <b/>
            <sz val="11"/>
            <rFont val="Times New Roman"/>
            <charset val="134"/>
          </rPr>
          <t xml:space="preserve">How many indicators fall under each major health category (e.g., RMNCH).
</t>
        </r>
      </text>
    </comment>
    <comment ref="C14" authorId="0">
      <text>
        <r>
          <rPr>
            <sz val="9"/>
            <rFont val="Times New Roman"/>
            <charset val="134"/>
          </rPr>
          <t xml:space="preserve">
</t>
        </r>
        <r>
          <rPr>
            <b/>
            <sz val="11"/>
            <rFont val="Times New Roman"/>
            <charset val="134"/>
          </rPr>
          <t xml:space="preserve">How do indicator values trends across reporting years by region.
</t>
        </r>
      </text>
    </comment>
  </commentList>
</comments>
</file>

<file path=xl/connections.xml><?xml version="1.0" encoding="utf-8"?>
<connections xmlns="http://schemas.openxmlformats.org/spreadsheetml/2006/main">
  <connection id="1" name="WHO_Health_Statistics_2025" type="6" background="1" refreshedVersion="2" saveData="1">
    <textPr sourceFile="/home/ritam/Documents/Freelancing/RAW DATA/WHO_Health_Statistics_2025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<sst xmlns="http://schemas.openxmlformats.org/spreadsheetml/2006/main" count="195" uniqueCount="118">
  <si>
    <t>Indicator_ID</t>
  </si>
  <si>
    <t>Indicator_Name</t>
  </si>
  <si>
    <t>Category</t>
  </si>
  <si>
    <t>SDG_Goal</t>
  </si>
  <si>
    <t>SDG_Target</t>
  </si>
  <si>
    <t>Year</t>
  </si>
  <si>
    <t>Region</t>
  </si>
  <si>
    <t>Value</t>
  </si>
  <si>
    <t>Unit</t>
  </si>
  <si>
    <t>Baseline_Year</t>
  </si>
  <si>
    <t>Target_Year</t>
  </si>
  <si>
    <t>Target_Value</t>
  </si>
  <si>
    <t>Progress_Status</t>
  </si>
  <si>
    <t>Source</t>
  </si>
  <si>
    <t>Notes</t>
  </si>
  <si>
    <t>3.1.2</t>
  </si>
  <si>
    <t>Proportion of births attended by skilled health personnel</t>
  </si>
  <si>
    <t>RMNCH</t>
  </si>
  <si>
    <t>Global</t>
  </si>
  <si>
    <t>%</t>
  </si>
  <si>
    <t>World Health Statistics 2025</t>
  </si>
  <si>
    <t>African Region</t>
  </si>
  <si>
    <t>Region of the Americas</t>
  </si>
  <si>
    <t>Eastern Mediterranean Region</t>
  </si>
  <si>
    <t>European Region</t>
  </si>
  <si>
    <t>South-East Asia Region</t>
  </si>
  <si>
    <t>Western Pacific Region</t>
  </si>
  <si>
    <t>1.1_HALE</t>
  </si>
  <si>
    <t>Healthy life expectancy (HALE) at birth</t>
  </si>
  <si>
    <t>Life Expectancy</t>
  </si>
  <si>
    <t>Years</t>
  </si>
  <si>
    <t>WHO Global health estimates 2021</t>
  </si>
  <si>
    <t>Analytical Question</t>
  </si>
  <si>
    <t>Excel Formula</t>
  </si>
  <si>
    <t>Solution</t>
  </si>
  <si>
    <t>Trend Analysis</t>
  </si>
  <si>
    <t>What is the global percentage change in HALE between 2000 &amp; 2021</t>
  </si>
  <si>
    <t>=('Raw Data'!H12-'Raw Data'!H10)/'Raw Data'!H10'</t>
  </si>
  <si>
    <t>What is the absolute point difference in HALE between the start year 2000 and the peak year 2019</t>
  </si>
  <si>
    <t>='Raw Data'!H11-'Raw Data'!H10'</t>
  </si>
  <si>
    <t>Pandemic Impact</t>
  </si>
  <si>
    <t>What was the drop in global HALE between the pre-pandemic peak in 2019 &amp; 2021</t>
  </si>
  <si>
    <t>='Raw Data'!H11-'Raw Data'!H12'</t>
  </si>
  <si>
    <t>What percentage decline does the pandemic drop represent relative to the 2019 peak</t>
  </si>
  <si>
    <t>=('Raw Data'!H11-'Raw Data'!H12)/'Raw Data'!H11'</t>
  </si>
  <si>
    <t>SDG Alignment</t>
  </si>
  <si>
    <t>Which SDG Goal and Target numbers are associated with Healthy Life Expectancy</t>
  </si>
  <si>
    <t>="Goal " &amp; 'Raw Data'!D10 &amp; ", Target " &amp; 'Raw Data'!E10'</t>
  </si>
  <si>
    <t>Which target is specifically linked to Skilled Birth Attendance within the SDG framework</t>
  </si>
  <si>
    <t>="Goal "&amp;'Raw Data'!D8&amp;", Target "&amp;'Raw Data'!E8'</t>
  </si>
  <si>
    <t>Data Audit</t>
  </si>
  <si>
    <t>What percentage of rows for the Skilled Birth Attendance indicator (31.2) are currently missing values</t>
  </si>
  <si>
    <t>=COUNTBLANK('Raw Data'!H2:H8)/COUNTA('Raw Data'!A2:A8)'</t>
  </si>
  <si>
    <t>What total number of blank cells exist across the entire active indicator data range in the raw sheet</t>
  </si>
  <si>
    <t>=COUNTBLANK('Raw Data'!H2:H12)'</t>
  </si>
  <si>
    <t>Regional Breakdown</t>
  </si>
  <si>
    <t>How many distinct WHO regions are listed under the Skilled Birth Attendance indicator</t>
  </si>
  <si>
    <t>=COUNTA(UNIQUE('Raw Data'!G2:G8))'</t>
  </si>
  <si>
    <t>Which region recorded the highest total population or coverage value across the dataset</t>
  </si>
  <si>
    <t>=INDEX('Raw Data'!G$2:G$12,XMATCH(MAX('Raw Data'!H$2:H$12),'Raw Data'!H$2:H$12))'</t>
  </si>
  <si>
    <t>Dynamic Lookup</t>
  </si>
  <si>
    <t>What is the specific Healthy Life Expectancy (HALE) value for the Global region in 2021 using a lookup formula</t>
  </si>
  <si>
    <t>=XLOOKUP(1,('Raw Data'!G$2:G$15="Global")*('Raw Data'!F$2:F$15=2021)*('Raw Data'!A$2:A$15="1.1_HALE"),'Raw Data'!H$2:H$15)'</t>
  </si>
  <si>
    <t>Which region recorded the highest value across the dataset using an index-match lookup</t>
  </si>
  <si>
    <t>Conditional Aggregation</t>
  </si>
  <si>
    <t>What is the total sum of all HALE values recorded across the dataset?</t>
  </si>
  <si>
    <t>=SUM('Raw Data'!H$2:H$12)'</t>
  </si>
  <si>
    <t>What is the average value across the active data range</t>
  </si>
  <si>
    <t>=AVERAGE('Raw Data'!H$2:H$12)'</t>
  </si>
  <si>
    <t>Logical Evaluation</t>
  </si>
  <si>
    <t>Does the 2021 global HALE value meet or exceed the 2000 baseline value</t>
  </si>
  <si>
    <t>=IF('Raw Data'!K27&gt;='Raw Data'!K25,"Target Met","Target Not Met")'</t>
  </si>
  <si>
    <t>What is the percentage change from baseline greater than 5%</t>
  </si>
  <si>
    <t>=IF((('Raw Data'!H$12-'Raw Data'!H$10)/'Raw Data'!H$10)&gt;0.05,"Significant Growth","Stable/Low Growth")'</t>
  </si>
  <si>
    <t>Regional-Aggregation</t>
  </si>
  <si>
    <t>What is the average value or data distribution across each WHO Region for active indicators</t>
  </si>
  <si>
    <t>Pivot Table : Rows = Region ; Values = Average</t>
  </si>
  <si>
    <t>Global : 61.6 Year avg ; Regional Count : 1 each</t>
  </si>
  <si>
    <t>Category-Breakdown</t>
  </si>
  <si>
    <t>How many indicators fall under each major health category (e.g., RMNCH)</t>
  </si>
  <si>
    <t>Pivot Table : Rows = Category ; Values = Count</t>
  </si>
  <si>
    <t>RMNCH : 8 ; Life Expentancy : 3</t>
  </si>
  <si>
    <t>Time-Series-Analysis</t>
  </si>
  <si>
    <t>How do indicator values trends across reporting years by region</t>
  </si>
  <si>
    <t>Pivot Table : Rows = Region ; Columns = Year</t>
  </si>
  <si>
    <t>Global 2000 : 58.1 ; 2019 : 63.5 ; 2021 : 61.9</t>
  </si>
  <si>
    <t>Average of Value</t>
  </si>
  <si>
    <t xml:space="preserve"> Indicator Count</t>
  </si>
  <si>
    <t>Grand Total</t>
  </si>
  <si>
    <t>Average Value</t>
  </si>
  <si>
    <t>WORLD HEALTH ORGANIZATION HEALTH STATISTICS</t>
  </si>
  <si>
    <t>Regional-Average</t>
  </si>
  <si>
    <t>Total-Indicators</t>
  </si>
  <si>
    <t>Time-Series-Total</t>
  </si>
  <si>
    <t>World Health Organization — Health Statistics Project Overview</t>
  </si>
  <si>
    <t>1. Project Executive Summary</t>
  </si>
  <si>
    <t>Project Title: WHO Health Statistics 2025 Analytics &amp; Monitoring Dashboard</t>
  </si>
  <si>
    <t>Objective: To monitor, analyze, and visualize global health indicators across multiple WHO regions, tracking progress toward Sustainable Development Goals (SDGs).</t>
  </si>
  <si>
    <t>2. Core Categories &amp; Indicators Covered</t>
  </si>
  <si>
    <r>
      <rPr>
        <b/>
        <sz val="14"/>
        <color theme="1"/>
        <rFont val="Calibri"/>
        <charset val="134"/>
        <scheme val="minor"/>
      </rPr>
      <t xml:space="preserve">RMNCH (Reproductive, Maternal, Newborn, and Child Health): Focuses on SDG Goal 3 (Target 3.1), tracking metrics such as the </t>
    </r>
    <r>
      <rPr>
        <b/>
        <i/>
        <sz val="14"/>
        <color theme="1"/>
        <rFont val="Calibri"/>
        <charset val="134"/>
        <scheme val="minor"/>
      </rPr>
      <t>Proportion of births attended by skilled health personnel</t>
    </r>
    <r>
      <rPr>
        <b/>
        <sz val="14"/>
        <color theme="1"/>
        <rFont val="Calibri"/>
        <charset val="134"/>
        <scheme val="minor"/>
      </rPr>
      <t>.</t>
    </r>
  </si>
  <si>
    <r>
      <rPr>
        <b/>
        <sz val="14"/>
        <color theme="1"/>
        <rFont val="Calibri"/>
        <charset val="134"/>
        <scheme val="minor"/>
      </rPr>
      <t xml:space="preserve">Life Expectancy: Focuses on SDG Goal 3 (Target 3.4), tracking metrics such as </t>
    </r>
    <r>
      <rPr>
        <b/>
        <i/>
        <sz val="14"/>
        <color theme="1"/>
        <rFont val="Calibri"/>
        <charset val="134"/>
        <scheme val="minor"/>
      </rPr>
      <t>Healthy life expectancy (HALE) at birth</t>
    </r>
    <r>
      <rPr>
        <b/>
        <sz val="14"/>
        <color theme="1"/>
        <rFont val="Calibri"/>
        <charset val="134"/>
        <scheme val="minor"/>
      </rPr>
      <t xml:space="preserve"> from 2000 to 2024.</t>
    </r>
  </si>
  <si>
    <r>
      <rPr>
        <b/>
        <sz val="18"/>
        <color rgb="FFFF0000"/>
        <rFont val="DejaVu Sans"/>
        <charset val="134"/>
      </rPr>
      <t>3.</t>
    </r>
    <r>
      <rPr>
        <b/>
        <sz val="18"/>
        <color rgb="FFFF0000"/>
        <rFont val="Google Sans"/>
        <charset val="134"/>
      </rPr>
      <t xml:space="preserve"> </t>
    </r>
    <r>
      <rPr>
        <b/>
        <sz val="18"/>
        <color rgb="FFFF0000"/>
        <rFont val="DejaVu Sans"/>
        <charset val="134"/>
      </rPr>
      <t>Analytical</t>
    </r>
    <r>
      <rPr>
        <b/>
        <sz val="18"/>
        <color rgb="FFFF0000"/>
        <rFont val="Google Sans"/>
        <charset val="134"/>
      </rPr>
      <t xml:space="preserve"> </t>
    </r>
    <r>
      <rPr>
        <b/>
        <sz val="18"/>
        <color rgb="FFFF0000"/>
        <rFont val="DejaVu Sans"/>
        <charset val="134"/>
      </rPr>
      <t>Methodology</t>
    </r>
    <r>
      <rPr>
        <b/>
        <sz val="18"/>
        <color rgb="FFFF0000"/>
        <rFont val="Google Sans"/>
        <charset val="134"/>
      </rPr>
      <t xml:space="preserve"> </t>
    </r>
    <r>
      <rPr>
        <b/>
        <sz val="18"/>
        <color rgb="FFFF0000"/>
        <rFont val="DejaVu Sans"/>
        <charset val="134"/>
      </rPr>
      <t>&amp;</t>
    </r>
    <r>
      <rPr>
        <b/>
        <sz val="18"/>
        <color rgb="FFFF0000"/>
        <rFont val="Google Sans"/>
        <charset val="134"/>
      </rPr>
      <t xml:space="preserve"> </t>
    </r>
    <r>
      <rPr>
        <b/>
        <sz val="18"/>
        <color rgb="FFFF0000"/>
        <rFont val="DejaVu Sans"/>
        <charset val="134"/>
      </rPr>
      <t>Formulas</t>
    </r>
    <r>
      <rPr>
        <b/>
        <sz val="18"/>
        <color rgb="FFFF0000"/>
        <rFont val="Google Sans"/>
        <charset val="134"/>
      </rPr>
      <t xml:space="preserve"> </t>
    </r>
    <r>
      <rPr>
        <b/>
        <sz val="18"/>
        <color rgb="FFFF0000"/>
        <rFont val="DejaVu Sans"/>
        <charset val="134"/>
      </rPr>
      <t>Used</t>
    </r>
  </si>
  <si>
    <r>
      <rPr>
        <b/>
        <sz val="14"/>
        <color theme="1"/>
        <rFont val="DejaVu Sans"/>
        <charset val="134"/>
      </rPr>
      <t>Regional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Aggregation: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Evaluates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global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vs.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regional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distribution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across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all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6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WHO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regions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(African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Region,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Region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of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the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Americas,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Eastern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Mediterranean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Region,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European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Region,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South-East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Asia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Region,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and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Western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Pacific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Region).</t>
    </r>
  </si>
  <si>
    <r>
      <rPr>
        <b/>
        <sz val="14"/>
        <color theme="1"/>
        <rFont val="DejaVu Sans"/>
        <charset val="134"/>
      </rPr>
      <t>Time-Series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Analysis: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Measures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historical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trend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progression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across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baseline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years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(2000)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through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target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years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(2030).</t>
    </r>
  </si>
  <si>
    <r>
      <rPr>
        <b/>
        <sz val="18"/>
        <color rgb="FFFF0000"/>
        <rFont val="DejaVu Sans"/>
        <charset val="134"/>
      </rPr>
      <t>4. Project</t>
    </r>
    <r>
      <rPr>
        <b/>
        <sz val="18"/>
        <color rgb="FFFF0000"/>
        <rFont val="Google Sans"/>
        <charset val="134"/>
      </rPr>
      <t xml:space="preserve"> </t>
    </r>
    <r>
      <rPr>
        <b/>
        <sz val="18"/>
        <color rgb="FFFF0000"/>
        <rFont val="DejaVu Sans"/>
        <charset val="134"/>
      </rPr>
      <t>Categories</t>
    </r>
    <r>
      <rPr>
        <b/>
        <sz val="18"/>
        <color rgb="FFFF0000"/>
        <rFont val="Google Sans"/>
        <charset val="134"/>
      </rPr>
      <t xml:space="preserve"> </t>
    </r>
    <r>
      <rPr>
        <b/>
        <sz val="18"/>
        <color rgb="FFFF0000"/>
        <rFont val="DejaVu Sans"/>
        <charset val="134"/>
      </rPr>
      <t>&amp;</t>
    </r>
    <r>
      <rPr>
        <b/>
        <sz val="18"/>
        <color rgb="FFFF0000"/>
        <rFont val="Google Sans"/>
        <charset val="134"/>
      </rPr>
      <t xml:space="preserve"> </t>
    </r>
    <r>
      <rPr>
        <b/>
        <sz val="18"/>
        <color rgb="FFFF0000"/>
        <rFont val="DejaVu Sans"/>
        <charset val="134"/>
      </rPr>
      <t>Key</t>
    </r>
    <r>
      <rPr>
        <b/>
        <sz val="18"/>
        <color rgb="FFFF0000"/>
        <rFont val="Google Sans"/>
        <charset val="134"/>
      </rPr>
      <t xml:space="preserve"> </t>
    </r>
    <r>
      <rPr>
        <b/>
        <sz val="18"/>
        <color rgb="FFFF0000"/>
        <rFont val="DejaVu Sans"/>
        <charset val="134"/>
      </rPr>
      <t>Results</t>
    </r>
  </si>
  <si>
    <r>
      <rPr>
        <b/>
        <sz val="14"/>
        <color theme="1"/>
        <rFont val="DejaVu Sans"/>
        <charset val="134"/>
      </rPr>
      <t>A.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Trend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Analysis</t>
    </r>
  </si>
  <si>
    <r>
      <rPr>
        <b/>
        <sz val="14"/>
        <color theme="1"/>
        <rFont val="DejaVu Sans"/>
        <charset val="134"/>
      </rPr>
      <t>Result: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$6.54\%$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global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growth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in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HALE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between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$2000$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and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$2021$.</t>
    </r>
  </si>
  <si>
    <r>
      <rPr>
        <b/>
        <sz val="14"/>
        <color theme="1"/>
        <rFont val="DejaVu Sans"/>
        <charset val="134"/>
      </rPr>
      <t>B.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Pandemic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Impact</t>
    </r>
  </si>
  <si>
    <r>
      <rPr>
        <b/>
        <sz val="14"/>
        <color theme="1"/>
        <rFont val="DejaVu Sans"/>
        <charset val="134"/>
      </rPr>
      <t>Result: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$1.6$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point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drop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between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pre-pandemic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peak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($2019$)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and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$2021$.</t>
    </r>
  </si>
  <si>
    <r>
      <rPr>
        <b/>
        <sz val="14"/>
        <color theme="1"/>
        <rFont val="DejaVu Sans"/>
        <charset val="134"/>
      </rPr>
      <t>C.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SDG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Alignment</t>
    </r>
  </si>
  <si>
    <r>
      <rPr>
        <b/>
        <sz val="14"/>
        <color theme="1"/>
        <rFont val="DejaVu Sans"/>
        <charset val="134"/>
      </rPr>
      <t>Result: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Goal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$3$,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Target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$3.4$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(Life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Expectancy)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and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Target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$3.1$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(Birth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Attendance).</t>
    </r>
  </si>
  <si>
    <r>
      <rPr>
        <b/>
        <sz val="14"/>
        <color theme="1"/>
        <rFont val="DejaVu Sans"/>
        <charset val="134"/>
      </rPr>
      <t>D.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Data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Audit</t>
    </r>
  </si>
  <si>
    <r>
      <rPr>
        <b/>
        <sz val="14"/>
        <color theme="1"/>
        <rFont val="DejaVu Sans"/>
        <charset val="134"/>
      </rPr>
      <t>Result: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Evaluated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missing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dataset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values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($100\%$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missing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baseline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data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for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demo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setup).</t>
    </r>
  </si>
  <si>
    <r>
      <rPr>
        <b/>
        <sz val="14"/>
        <color theme="1"/>
        <rFont val="DejaVu Sans"/>
        <charset val="134"/>
      </rPr>
      <t>E.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Regional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Breakdown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&amp;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Aggregation</t>
    </r>
  </si>
  <si>
    <r>
      <rPr>
        <b/>
        <sz val="14"/>
        <color theme="1"/>
        <rFont val="DejaVu Sans"/>
        <charset val="134"/>
      </rPr>
      <t>Result: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$7$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distinct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WHO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regions/groupings.</t>
    </r>
  </si>
  <si>
    <r>
      <rPr>
        <b/>
        <sz val="14"/>
        <color theme="1"/>
        <rFont val="DejaVu Sans"/>
        <charset val="134"/>
      </rPr>
      <t>F.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Dynamic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Lookup</t>
    </r>
  </si>
  <si>
    <r>
      <rPr>
        <b/>
        <sz val="14"/>
        <color theme="1"/>
        <rFont val="DejaVu Sans"/>
        <charset val="134"/>
      </rPr>
      <t>Result: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Exact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global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HALE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value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of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$61.9$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Years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for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$2021$.</t>
    </r>
  </si>
  <si>
    <r>
      <rPr>
        <b/>
        <sz val="14"/>
        <color theme="1"/>
        <rFont val="DejaVu Sans"/>
        <charset val="134"/>
      </rPr>
      <t>G.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Time-Series</t>
    </r>
    <r>
      <rPr>
        <b/>
        <sz val="14"/>
        <color theme="1"/>
        <rFont val="Google Sans Text"/>
        <charset val="134"/>
      </rPr>
      <t xml:space="preserve"> </t>
    </r>
    <r>
      <rPr>
        <b/>
        <sz val="14"/>
        <color theme="1"/>
        <rFont val="DejaVu Sans"/>
        <charset val="134"/>
      </rPr>
      <t>Analysis</t>
    </r>
  </si>
</sst>
</file>

<file path=xl/styles.xml><?xml version="1.0" encoding="utf-8"?>
<styleSheet xmlns="http://schemas.openxmlformats.org/spreadsheetml/2006/main">
  <numFmts count="15">
    <numFmt numFmtId="176" formatCode="0.00\ &quot;Years&quot;"/>
    <numFmt numFmtId="177" formatCode="0.0\ &quot;Years&quot;"/>
    <numFmt numFmtId="178" formatCode="0\ &quot;Regions&quot;"/>
    <numFmt numFmtId="179" formatCode="0%\ &quot;Missing&quot;"/>
    <numFmt numFmtId="180" formatCode="0.00%\ &quot;Decrease&quot;"/>
    <numFmt numFmtId="181" formatCode="0.0\ &quot;Years Drop&quot;"/>
    <numFmt numFmtId="182" formatCode="0.0\ &quot;Years Gain&quot;"/>
    <numFmt numFmtId="183" formatCode="0.00_ "/>
    <numFmt numFmtId="184" formatCode="0\ &quot;Blank Cells&quot;"/>
    <numFmt numFmtId="185" formatCode="_ &quot;₹&quot;* #,##0.00_ ;_ &quot;₹&quot;* \-#,##0.00_ ;_ &quot;₹&quot;* &quot;-&quot;??_ ;_ @_ "/>
    <numFmt numFmtId="186" formatCode="_ * #,##0.00_ ;_ * \-#,##0.00_ ;_ * &quot;-&quot;??_ ;_ @_ "/>
    <numFmt numFmtId="187" formatCode="0_ "/>
    <numFmt numFmtId="188" formatCode="_ &quot;₹&quot;* #,##0_ ;_ &quot;₹&quot;* \-#,##0_ ;_ &quot;₹&quot;* &quot;-&quot;_ ;_ @_ "/>
    <numFmt numFmtId="189" formatCode="_ * #,##0_ ;_ * \-#,##0_ ;_ * &quot;-&quot;_ ;_ @_ "/>
    <numFmt numFmtId="190" formatCode="0.00%\ &quot;Increase&quot;"/>
  </numFmts>
  <fonts count="48">
    <font>
      <sz val="11"/>
      <color theme="1"/>
      <name val="Calibri"/>
      <charset val="134"/>
      <scheme val="minor"/>
    </font>
    <font>
      <b/>
      <sz val="22"/>
      <color theme="4" tint="-0.5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u/>
      <sz val="14"/>
      <color theme="1"/>
      <name val="Calibri"/>
      <charset val="134"/>
      <scheme val="minor"/>
    </font>
    <font>
      <b/>
      <sz val="18"/>
      <color rgb="FFFF0000"/>
      <name val="DejaVu Sans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DejaVu Sans"/>
      <charset val="134"/>
    </font>
    <font>
      <b/>
      <sz val="11"/>
      <color theme="1"/>
      <name val="DejaVu Sans"/>
      <charset val="134"/>
    </font>
    <font>
      <b/>
      <sz val="12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24"/>
      <color theme="4" tint="-0.499984740745262"/>
      <name val="Calibri Light"/>
      <charset val="134"/>
      <scheme val="major"/>
    </font>
    <font>
      <b/>
      <sz val="11"/>
      <color theme="4" tint="-0.499984740745262"/>
      <name val="Calibri Light"/>
      <charset val="134"/>
      <scheme val="major"/>
    </font>
    <font>
      <b/>
      <sz val="2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4" tint="-0.249977111117893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i/>
      <sz val="14"/>
      <color theme="1"/>
      <name val="Calibri"/>
      <charset val="134"/>
      <scheme val="minor"/>
    </font>
    <font>
      <b/>
      <sz val="18"/>
      <color rgb="FFFF0000"/>
      <name val="Google Sans"/>
      <charset val="134"/>
    </font>
    <font>
      <b/>
      <sz val="14"/>
      <color theme="1"/>
      <name val="Google Sans Text"/>
      <charset val="134"/>
    </font>
    <font>
      <sz val="9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ck">
        <color theme="4"/>
      </left>
      <right/>
      <top style="thick">
        <color theme="4"/>
      </top>
      <bottom/>
      <diagonal/>
    </border>
    <border>
      <left/>
      <right/>
      <top style="thick">
        <color theme="4"/>
      </top>
      <bottom/>
      <diagonal/>
    </border>
    <border>
      <left style="thick">
        <color theme="4"/>
      </left>
      <right/>
      <top/>
      <bottom/>
      <diagonal/>
    </border>
    <border>
      <left style="thick">
        <color theme="4"/>
      </left>
      <right/>
      <top/>
      <bottom style="thick">
        <color theme="4"/>
      </bottom>
      <diagonal/>
    </border>
    <border>
      <left/>
      <right/>
      <top/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/>
      <diagonal/>
    </border>
    <border>
      <left/>
      <right style="thick">
        <color theme="4"/>
      </right>
      <top/>
      <bottom/>
      <diagonal/>
    </border>
    <border>
      <left/>
      <right style="thick">
        <color theme="4"/>
      </right>
      <top/>
      <bottom style="thick">
        <color theme="4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/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1" fillId="35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36" fillId="13" borderId="22" applyNumberFormat="0" applyAlignment="0" applyProtection="0">
      <alignment vertical="center"/>
    </xf>
    <xf numFmtId="185" fontId="0" fillId="0" borderId="0" applyFont="0" applyFill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0" fillId="14" borderId="20" applyNumberFormat="0" applyFont="0" applyAlignment="0" applyProtection="0">
      <alignment vertical="center"/>
    </xf>
    <xf numFmtId="0" fontId="27" fillId="10" borderId="18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4" fillId="13" borderId="18" applyNumberFormat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189" fontId="0" fillId="0" borderId="0" applyFont="0" applyFill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188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186" fontId="0" fillId="0" borderId="0" applyFont="0" applyFill="0" applyBorder="0" applyAlignment="0" applyProtection="0">
      <alignment vertical="center"/>
    </xf>
    <xf numFmtId="0" fontId="23" fillId="7" borderId="16" applyNumberFormat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left" vertical="top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 applyAlignment="1">
      <alignment horizontal="left" vertical="center" indent="1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5" fillId="2" borderId="0" xfId="0" applyFont="1" applyFill="1" applyAlignment="1">
      <alignment horizontal="left" vertical="center" indent="1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10" fillId="2" borderId="0" xfId="0" applyFont="1" applyFill="1">
      <alignment vertical="center"/>
    </xf>
    <xf numFmtId="0" fontId="11" fillId="2" borderId="0" xfId="0" applyFont="1" applyFill="1" applyAlignment="1">
      <alignment horizontal="left" vertical="center" indent="1"/>
    </xf>
    <xf numFmtId="0" fontId="11" fillId="2" borderId="0" xfId="0" applyFont="1" applyFill="1" applyAlignment="1">
      <alignment horizontal="left" vertical="center" indent="2"/>
    </xf>
    <xf numFmtId="0" fontId="12" fillId="2" borderId="0" xfId="0" applyFont="1" applyFill="1" applyAlignment="1">
      <alignment horizontal="left" vertical="center" indent="2"/>
    </xf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>
      <alignment vertical="center"/>
    </xf>
    <xf numFmtId="0" fontId="14" fillId="2" borderId="0" xfId="0" applyFont="1" applyFill="1" applyBorder="1" applyAlignment="1">
      <alignment vertical="center"/>
    </xf>
    <xf numFmtId="0" fontId="5" fillId="2" borderId="0" xfId="0" applyFont="1" applyFill="1" applyBorder="1">
      <alignment vertical="center"/>
    </xf>
    <xf numFmtId="0" fontId="0" fillId="2" borderId="0" xfId="0" applyFill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83" fontId="17" fillId="0" borderId="1" xfId="0" applyNumberFormat="1" applyFont="1" applyBorder="1" applyAlignment="1">
      <alignment horizontal="center" vertical="center"/>
    </xf>
    <xf numFmtId="183" fontId="17" fillId="0" borderId="2" xfId="0" applyNumberFormat="1" applyFont="1" applyBorder="1" applyAlignment="1">
      <alignment horizontal="center" vertical="center"/>
    </xf>
    <xf numFmtId="183" fontId="17" fillId="0" borderId="3" xfId="0" applyNumberFormat="1" applyFont="1" applyBorder="1" applyAlignment="1">
      <alignment horizontal="center" vertical="center"/>
    </xf>
    <xf numFmtId="183" fontId="17" fillId="0" borderId="0" xfId="0" applyNumberFormat="1" applyFont="1" applyAlignment="1">
      <alignment horizontal="center" vertical="center"/>
    </xf>
    <xf numFmtId="183" fontId="17" fillId="0" borderId="4" xfId="0" applyNumberFormat="1" applyFont="1" applyBorder="1" applyAlignment="1">
      <alignment horizontal="center" vertical="center"/>
    </xf>
    <xf numFmtId="183" fontId="17" fillId="0" borderId="5" xfId="0" applyNumberFormat="1" applyFont="1" applyBorder="1" applyAlignment="1">
      <alignment horizontal="center" vertical="center"/>
    </xf>
    <xf numFmtId="183" fontId="14" fillId="0" borderId="0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83" fontId="17" fillId="0" borderId="6" xfId="0" applyNumberFormat="1" applyFont="1" applyBorder="1" applyAlignment="1">
      <alignment horizontal="center" vertical="center"/>
    </xf>
    <xf numFmtId="183" fontId="17" fillId="0" borderId="7" xfId="0" applyNumberFormat="1" applyFont="1" applyBorder="1" applyAlignment="1">
      <alignment horizontal="center" vertical="center"/>
    </xf>
    <xf numFmtId="0" fontId="10" fillId="0" borderId="0" xfId="0" applyFont="1">
      <alignment vertical="center"/>
    </xf>
    <xf numFmtId="183" fontId="17" fillId="0" borderId="8" xfId="0" applyNumberFormat="1" applyFont="1" applyBorder="1" applyAlignment="1">
      <alignment horizontal="center" vertical="center"/>
    </xf>
    <xf numFmtId="0" fontId="18" fillId="0" borderId="0" xfId="0" applyFont="1">
      <alignment vertical="center"/>
    </xf>
    <xf numFmtId="0" fontId="14" fillId="0" borderId="9" xfId="0" applyFont="1" applyBorder="1" applyAlignment="1">
      <alignment horizontal="center" vertical="center"/>
    </xf>
    <xf numFmtId="187" fontId="17" fillId="0" borderId="10" xfId="0" applyNumberFormat="1" applyFont="1" applyBorder="1" applyAlignment="1">
      <alignment horizontal="center" vertical="center"/>
    </xf>
    <xf numFmtId="187" fontId="17" fillId="0" borderId="2" xfId="0" applyNumberFormat="1" applyFont="1" applyBorder="1" applyAlignment="1">
      <alignment horizontal="center" vertical="center"/>
    </xf>
    <xf numFmtId="187" fontId="17" fillId="0" borderId="3" xfId="0" applyNumberFormat="1" applyFont="1" applyBorder="1" applyAlignment="1">
      <alignment horizontal="center" vertical="center"/>
    </xf>
    <xf numFmtId="187" fontId="17" fillId="0" borderId="0" xfId="0" applyNumberFormat="1" applyFont="1" applyAlignment="1">
      <alignment horizontal="center" vertical="center"/>
    </xf>
    <xf numFmtId="187" fontId="17" fillId="0" borderId="4" xfId="0" applyNumberFormat="1" applyFont="1" applyBorder="1" applyAlignment="1">
      <alignment horizontal="center" vertical="center"/>
    </xf>
    <xf numFmtId="187" fontId="17" fillId="0" borderId="5" xfId="0" applyNumberFormat="1" applyFont="1" applyBorder="1" applyAlignment="1">
      <alignment horizontal="center" vertical="center"/>
    </xf>
    <xf numFmtId="187" fontId="17" fillId="0" borderId="1" xfId="0" applyNumberFormat="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187" fontId="17" fillId="0" borderId="6" xfId="0" applyNumberFormat="1" applyFont="1" applyBorder="1" applyAlignment="1">
      <alignment horizontal="center" vertical="center"/>
    </xf>
    <xf numFmtId="187" fontId="17" fillId="0" borderId="7" xfId="0" applyNumberFormat="1" applyFont="1" applyBorder="1" applyAlignment="1">
      <alignment horizontal="center" vertical="center"/>
    </xf>
    <xf numFmtId="187" fontId="17" fillId="0" borderId="8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183" fontId="17" fillId="0" borderId="0" xfId="0" applyNumberFormat="1" applyFont="1" applyBorder="1" applyAlignment="1">
      <alignment horizontal="center" vertical="center"/>
    </xf>
    <xf numFmtId="0" fontId="19" fillId="4" borderId="14" xfId="0" applyFont="1" applyFill="1" applyBorder="1" applyAlignment="1">
      <alignment horizontal="center" vertical="center"/>
    </xf>
    <xf numFmtId="0" fontId="10" fillId="5" borderId="15" xfId="0" applyFont="1" applyFill="1" applyBorder="1">
      <alignment vertical="center"/>
    </xf>
    <xf numFmtId="0" fontId="20" fillId="5" borderId="15" xfId="0" applyFont="1" applyFill="1" applyBorder="1">
      <alignment vertical="center"/>
    </xf>
    <xf numFmtId="0" fontId="21" fillId="0" borderId="15" xfId="0" applyFont="1" applyBorder="1">
      <alignment vertical="center"/>
    </xf>
    <xf numFmtId="183" fontId="0" fillId="0" borderId="15" xfId="0" applyNumberFormat="1" applyBorder="1">
      <alignment vertical="center"/>
    </xf>
    <xf numFmtId="183" fontId="21" fillId="0" borderId="15" xfId="0" applyNumberFormat="1" applyFont="1" applyBorder="1">
      <alignment vertical="center"/>
    </xf>
    <xf numFmtId="0" fontId="0" fillId="0" borderId="15" xfId="0" applyBorder="1">
      <alignment vertical="center"/>
    </xf>
    <xf numFmtId="0" fontId="10" fillId="0" borderId="15" xfId="0" applyFont="1" applyBorder="1">
      <alignment vertical="center"/>
    </xf>
    <xf numFmtId="0" fontId="22" fillId="0" borderId="0" xfId="0" applyFont="1" applyFill="1" applyBorder="1" applyAlignment="1">
      <alignment vertical="center"/>
    </xf>
    <xf numFmtId="0" fontId="10" fillId="0" borderId="0" xfId="0" applyFont="1" applyFill="1" applyBorder="1">
      <alignment vertical="center"/>
    </xf>
    <xf numFmtId="0" fontId="21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10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2" fillId="6" borderId="14" xfId="0" applyFont="1" applyFill="1" applyBorder="1" applyAlignment="1">
      <alignment horizontal="center" vertical="center"/>
    </xf>
    <xf numFmtId="49" fontId="0" fillId="0" borderId="14" xfId="0" applyNumberFormat="1" applyFont="1" applyFill="1" applyBorder="1" applyAlignment="1">
      <alignment horizontal="center" vertical="center"/>
    </xf>
    <xf numFmtId="190" fontId="0" fillId="0" borderId="14" xfId="0" applyNumberFormat="1" applyFont="1" applyFill="1" applyBorder="1" applyAlignment="1">
      <alignment horizontal="center" vertical="center"/>
    </xf>
    <xf numFmtId="182" fontId="0" fillId="0" borderId="14" xfId="0" applyNumberFormat="1" applyFont="1" applyFill="1" applyBorder="1" applyAlignment="1">
      <alignment horizontal="center" vertical="center"/>
    </xf>
    <xf numFmtId="181" fontId="0" fillId="0" borderId="14" xfId="0" applyNumberFormat="1" applyFont="1" applyFill="1" applyBorder="1" applyAlignment="1">
      <alignment horizontal="center" vertical="center"/>
    </xf>
    <xf numFmtId="180" fontId="0" fillId="0" borderId="14" xfId="0" applyNumberFormat="1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179" fontId="0" fillId="0" borderId="14" xfId="0" applyNumberFormat="1" applyFont="1" applyFill="1" applyBorder="1" applyAlignment="1">
      <alignment horizontal="center" vertical="center"/>
    </xf>
    <xf numFmtId="184" fontId="0" fillId="0" borderId="14" xfId="0" applyNumberFormat="1" applyFont="1" applyFill="1" applyBorder="1" applyAlignment="1">
      <alignment horizontal="center" vertical="center"/>
    </xf>
    <xf numFmtId="178" fontId="0" fillId="0" borderId="14" xfId="0" applyNumberFormat="1" applyFont="1" applyFill="1" applyBorder="1" applyAlignment="1">
      <alignment horizontal="center" vertical="center"/>
    </xf>
    <xf numFmtId="177" fontId="0" fillId="0" borderId="14" xfId="0" applyNumberFormat="1" applyFont="1" applyFill="1" applyBorder="1" applyAlignment="1">
      <alignment horizontal="center" vertical="center"/>
    </xf>
    <xf numFmtId="176" fontId="0" fillId="0" borderId="14" xfId="0" applyNumberFormat="1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/>
    </xf>
    <xf numFmtId="0" fontId="0" fillId="0" borderId="14" xfId="0" applyBorder="1">
      <alignment vertical="center"/>
    </xf>
    <xf numFmtId="0" fontId="20" fillId="5" borderId="14" xfId="0" applyFont="1" applyFill="1" applyBorder="1" applyAlignment="1">
      <alignment horizontal="center" vertical="center"/>
    </xf>
    <xf numFmtId="49" fontId="0" fillId="0" borderId="14" xfId="0" applyNumberFormat="1" applyFont="1" applyFill="1" applyBorder="1" applyAlignment="1" quotePrefix="1">
      <alignment horizontal="center" vertical="center"/>
    </xf>
    <xf numFmtId="0" fontId="0" fillId="0" borderId="14" xfId="0" applyFont="1" applyFill="1" applyBorder="1" applyAlignment="1" quotePrefix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58">
    <dxf>
      <font>
        <b val="1"/>
      </font>
    </dxf>
    <dxf>
      <border>
        <top/>
      </border>
    </dxf>
    <dxf>
      <border>
        <right/>
      </border>
    </dxf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top/>
      </border>
    </dxf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top style="thin">
          <color auto="1"/>
        </top>
        <bottom style="thin">
          <color auto="1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ill>
        <patternFill patternType="solid">
          <bgColor theme="4"/>
        </patternFill>
      </fill>
    </dxf>
    <dxf>
      <font>
        <b val="0"/>
      </font>
    </dxf>
    <dxf>
      <font>
        <b val="1"/>
      </font>
    </dxf>
    <dxf>
      <fill>
        <patternFill patternType="solid">
          <bgColor theme="4"/>
        </patternFill>
      </fill>
    </dxf>
    <dxf>
      <numFmt numFmtId="191" formatCode="0.0000000_ "/>
    </dxf>
    <dxf>
      <numFmt numFmtId="192" formatCode="0.000000_ "/>
    </dxf>
    <dxf>
      <numFmt numFmtId="193" formatCode="0.00000_ "/>
    </dxf>
    <dxf>
      <numFmt numFmtId="194" formatCode="0.0000_ "/>
    </dxf>
    <dxf>
      <numFmt numFmtId="195" formatCode="0.000_ "/>
    </dxf>
    <dxf>
      <numFmt numFmtId="183" formatCode="0.00_ "/>
    </dxf>
    <dxf>
      <numFmt numFmtId="196" formatCode="0.0000000_ "/>
    </dxf>
    <dxf>
      <numFmt numFmtId="197" formatCode="0.000000_ "/>
    </dxf>
    <dxf>
      <numFmt numFmtId="198" formatCode="0.00000_ "/>
    </dxf>
    <dxf>
      <numFmt numFmtId="199" formatCode="0.0000_ "/>
    </dxf>
    <dxf>
      <numFmt numFmtId="200" formatCode="0.000_ "/>
    </dxf>
    <dxf>
      <numFmt numFmtId="183" formatCode="0.00_ "/>
    </dxf>
    <dxf>
      <font>
        <b val="1"/>
      </font>
    </dxf>
    <dxf>
      <border>
        <top/>
      </border>
    </dxf>
    <dxf>
      <border>
        <bottom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top style="thin">
          <color auto="1"/>
        </top>
        <bottom style="thin">
          <color auto="1"/>
        </bottom>
      </border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5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ill>
        <patternFill patternType="solid">
          <bgColor theme="4"/>
        </patternFill>
      </fill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border>
        <top/>
      </border>
    </dxf>
    <dxf>
      <border>
        <top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b val="1"/>
      </font>
    </dxf>
    <dxf>
      <font>
        <b val="0"/>
      </font>
    </dxf>
    <dxf>
      <font>
        <b val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1.xml"/><Relationship Id="rId6" Type="http://schemas.openxmlformats.org/officeDocument/2006/relationships/connections" Target="connections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microsoft.com/office/2007/relationships/slicerCache" Target="slicerCaches/slicerCache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[WHO_Health_Statistics_2000-2024  .xlsx]Analysis!Regional Table</c:name>
    <c:fmtId val="6"/>
  </c:pivotSource>
  <c:chart>
    <c:autoTitleDeleted val="1"/>
    <c:plotArea>
      <c:layout>
        <c:manualLayout>
          <c:layoutTarget val="inner"/>
          <c:xMode val="edge"/>
          <c:yMode val="edge"/>
          <c:x val="0.165864630499397"/>
          <c:y val="0.206087719031031"/>
          <c:w val="0.63227907435604"/>
          <c:h val="0.35805570726379"/>
        </c:manualLayout>
      </c:layout>
      <c:lineChart>
        <c:grouping val="percentStacked"/>
        <c:varyColors val="0"/>
        <c:ser>
          <c:idx val="0"/>
          <c:order val="0"/>
          <c:tx>
            <c:strRef>
              <c:f>Analysis!$D$3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 cmpd="dbl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elete val="1"/>
          </c:dLbls>
          <c:cat>
            <c:strRef>
              <c:f>Analysis!$C$4:$C$11</c:f>
              <c:strCache>
                <c:ptCount val="7"/>
                <c:pt idx="0">
                  <c:v>African Region</c:v>
                </c:pt>
                <c:pt idx="1">
                  <c:v>Eastern Mediterranean Region</c:v>
                </c:pt>
                <c:pt idx="2">
                  <c:v>European Region</c:v>
                </c:pt>
                <c:pt idx="3">
                  <c:v>Global</c:v>
                </c:pt>
                <c:pt idx="4">
                  <c:v>Region of the Americas</c:v>
                </c:pt>
                <c:pt idx="5">
                  <c:v>South-East Asia Region</c:v>
                </c:pt>
                <c:pt idx="6">
                  <c:v>Western Pacific Region</c:v>
                </c:pt>
              </c:strCache>
            </c:strRef>
          </c:cat>
          <c:val>
            <c:numRef>
              <c:f>Analysis!$D$4:$D$11</c:f>
              <c:numCache>
                <c:formatCode>0.00_ </c:formatCode>
                <c:ptCount val="7"/>
                <c:pt idx="3">
                  <c:v>61.1666666666667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0059339"/>
        <c:axId val="136224036"/>
      </c:lineChart>
      <c:catAx>
        <c:axId val="6700593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1" i="0" u="none" strike="noStrike" kern="1200" cap="all" spc="120" normalizeH="0" baseline="0">
                <a:solidFill>
                  <a:schemeClr val="dk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136224036"/>
        <c:crosses val="autoZero"/>
        <c:auto val="1"/>
        <c:lblAlgn val="ctr"/>
        <c:lblOffset val="100"/>
        <c:noMultiLvlLbl val="0"/>
      </c:catAx>
      <c:valAx>
        <c:axId val="13622403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dk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6700593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738907363420428"/>
          <c:y val="0.260399179257601"/>
          <c:w val="0.249691211401425"/>
          <c:h val="0.42473419138220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lt1"/>
    </a:solidFill>
    <a:ln w="38100" cap="flat" cmpd="sng" algn="ctr">
      <a:solidFill>
        <a:schemeClr val="accent5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chemeClr val="dk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2000" b="1" i="0" u="none" strike="noStrike" kern="1200" cap="none" spc="0" normalizeH="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accent1">
                    <a:lumMod val="50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rPr>
              <a:t>Category-Breakdown</a:t>
            </a:r>
            <a:r>
              <a:rPr lang="en-US" sz="2000" b="1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 </a:t>
            </a:r>
            <a:endParaRPr lang="en-US" sz="20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292387609800043"/>
          <c:y val="0.0539976275994669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</c:dPt>
          <c:dPt>
            <c:idx val="1"/>
            <c:invertIfNegative val="0"/>
            <c:bubble3D val="0"/>
            <c:spPr>
              <a:solidFill>
                <a:srgbClr val="FF0000">
                  <a:alpha val="75000"/>
                </a:srgb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{"Life Expectancy","RMNCH"}</c:f>
              <c:strCache>
                <c:ptCount val="2"/>
                <c:pt idx="0">
                  <c:v>Life Expectancy</c:v>
                </c:pt>
                <c:pt idx="1">
                  <c:v>RMNCH</c:v>
                </c:pt>
              </c:strCache>
            </c:strRef>
          </c:cat>
          <c:val>
            <c:numRef>
              <c:f>{3,8}</c:f>
              <c:numCache>
                <c:formatCode>General</c:formatCode>
                <c:ptCount val="2"/>
                <c:pt idx="0">
                  <c:v>3</c:v>
                </c:pt>
                <c:pt idx="1">
                  <c:v>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86371104"/>
        <c:axId val="1586373024"/>
      </c:barChart>
      <c:catAx>
        <c:axId val="1586371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1586373024"/>
        <c:crosses val="autoZero"/>
        <c:auto val="1"/>
        <c:lblAlgn val="ctr"/>
        <c:lblOffset val="100"/>
        <c:noMultiLvlLbl val="0"/>
      </c:catAx>
      <c:valAx>
        <c:axId val="1586373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15863711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/>
    </a:solidFill>
    <a:ln w="38100" cap="flat" cmpd="sng" algn="ctr">
      <a:solidFill>
        <a:schemeClr val="accent5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 sz="900">
          <a:solidFill>
            <a:schemeClr val="dk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cap="none" spc="20" baseline="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accent1">
                    <a:lumMod val="50000"/>
                  </a:schemeClr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rPr>
              <a:t>Time-Series-Analysis</a:t>
            </a:r>
            <a:r>
              <a:rPr lang="en-US" sz="1200">
                <a:solidFill>
                  <a:schemeClr val="accent1">
                    <a:lumMod val="50000"/>
                  </a:schemeClr>
                </a:solidFill>
                <a:latin typeface="+mn-lt"/>
                <a:ea typeface="+mn-ea"/>
                <a:cs typeface="+mn-cs"/>
              </a:rPr>
              <a:t> </a:t>
            </a:r>
            <a:endParaRPr lang="en-US" sz="120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361506423794293"/>
          <c:y val="0.059546046637837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3758888434818"/>
          <c:y val="0.201213171577123"/>
          <c:w val="0.782930935839804"/>
          <c:h val="0.428249566724437"/>
        </c:manualLayout>
      </c:layout>
      <c:lineChart>
        <c:grouping val="stacked"/>
        <c:varyColors val="0"/>
        <c:ser>
          <c:idx val="0"/>
          <c:order val="0"/>
          <c:tx>
            <c:strRef>
              <c:f>2000</c:f>
              <c:strCache>
                <c:ptCount val="1"/>
                <c:pt idx="0">
                  <c:v>2000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{"African Region","Eastern Mediterranean Region","European Region","Global","Region of the Americas","South-East Asia Region","Western Pacific Region"}</c:f>
              <c:strCache>
                <c:ptCount val="7"/>
                <c:pt idx="0">
                  <c:v>African Region</c:v>
                </c:pt>
                <c:pt idx="1">
                  <c:v>Eastern Mediterranean Region</c:v>
                </c:pt>
                <c:pt idx="2">
                  <c:v>European Region</c:v>
                </c:pt>
                <c:pt idx="3">
                  <c:v>Global</c:v>
                </c:pt>
                <c:pt idx="4">
                  <c:v>Region of the Americas</c:v>
                </c:pt>
                <c:pt idx="5">
                  <c:v>South-East Asia Region</c:v>
                </c:pt>
                <c:pt idx="6">
                  <c:v>Western Pacific Region</c:v>
                </c:pt>
              </c:strCache>
            </c:strRef>
          </c:cat>
          <c:val>
            <c:numRef>
              <c:f>{0,0,0,58.1,0,0,0}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58.1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2019</c:f>
              <c:strCache>
                <c:ptCount val="1"/>
                <c:pt idx="0">
                  <c:v>2019</c:v>
                </c:pt>
              </c:strCache>
            </c:strRef>
          </c:tx>
          <c:spPr>
            <a:ln w="22225" cap="rnd" cmpd="sng" algn="ctr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{"African Region","Eastern Mediterranean Region","European Region","Global","Region of the Americas","South-East Asia Region","Western Pacific Region"}</c:f>
              <c:strCache>
                <c:ptCount val="7"/>
                <c:pt idx="0">
                  <c:v>African Region</c:v>
                </c:pt>
                <c:pt idx="1">
                  <c:v>Eastern Mediterranean Region</c:v>
                </c:pt>
                <c:pt idx="2">
                  <c:v>European Region</c:v>
                </c:pt>
                <c:pt idx="3">
                  <c:v>Global</c:v>
                </c:pt>
                <c:pt idx="4">
                  <c:v>Region of the Americas</c:v>
                </c:pt>
                <c:pt idx="5">
                  <c:v>South-East Asia Region</c:v>
                </c:pt>
                <c:pt idx="6">
                  <c:v>Western Pacific Region</c:v>
                </c:pt>
              </c:strCache>
            </c:strRef>
          </c:cat>
          <c:val>
            <c:numRef>
              <c:f>{0,0,0,63.5,0,0,0}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63.5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2021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0"/>
                  <c:y val="-0.02653061224489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{"African Region","Eastern Mediterranean Region","European Region","Global","Region of the Americas","South-East Asia Region","Western Pacific Region"}</c:f>
              <c:strCache>
                <c:ptCount val="7"/>
                <c:pt idx="0">
                  <c:v>African Region</c:v>
                </c:pt>
                <c:pt idx="1">
                  <c:v>Eastern Mediterranean Region</c:v>
                </c:pt>
                <c:pt idx="2">
                  <c:v>European Region</c:v>
                </c:pt>
                <c:pt idx="3">
                  <c:v>Global</c:v>
                </c:pt>
                <c:pt idx="4">
                  <c:v>Region of the Americas</c:v>
                </c:pt>
                <c:pt idx="5">
                  <c:v>South-East Asia Region</c:v>
                </c:pt>
                <c:pt idx="6">
                  <c:v>Western Pacific Region</c:v>
                </c:pt>
              </c:strCache>
            </c:strRef>
          </c:cat>
          <c:val>
            <c:numRef>
              <c:f>{0,0,0,61.9,0,0,0}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61.9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2024</c:f>
              <c:strCache>
                <c:ptCount val="1"/>
                <c:pt idx="0">
                  <c:v>2024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{"African Region","Eastern Mediterranean Region","European Region","Global","Region of the Americas","South-East Asia Region","Western Pacific Region"}</c:f>
              <c:strCache>
                <c:ptCount val="7"/>
                <c:pt idx="0">
                  <c:v>African Region</c:v>
                </c:pt>
                <c:pt idx="1">
                  <c:v>Eastern Mediterranean Region</c:v>
                </c:pt>
                <c:pt idx="2">
                  <c:v>European Region</c:v>
                </c:pt>
                <c:pt idx="3">
                  <c:v>Global</c:v>
                </c:pt>
                <c:pt idx="4">
                  <c:v>Region of the Americas</c:v>
                </c:pt>
                <c:pt idx="5">
                  <c:v>South-East Asia Region</c:v>
                </c:pt>
                <c:pt idx="6">
                  <c:v>Western Pacific Region</c:v>
                </c:pt>
              </c:strCache>
            </c:strRef>
          </c:cat>
          <c:val>
            <c:numRef>
              <c:f>{0,0,0,0,0,0,0}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0"/>
        <c:smooth val="0"/>
        <c:axId val="1459499424"/>
        <c:axId val="1459499904"/>
      </c:lineChart>
      <c:catAx>
        <c:axId val="145949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2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1459499904"/>
        <c:crosses val="autoZero"/>
        <c:auto val="1"/>
        <c:lblAlgn val="ctr"/>
        <c:lblOffset val="100"/>
        <c:noMultiLvlLbl val="0"/>
      </c:catAx>
      <c:valAx>
        <c:axId val="1459499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spc="2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14594994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accent1"/>
            </a:solidFill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lt1"/>
    </a:solidFill>
    <a:ln w="38100" cap="flat" cmpd="sng" algn="ctr">
      <a:solidFill>
        <a:schemeClr val="accent5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 sz="1000">
          <a:solidFill>
            <a:schemeClr val="dk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png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2</xdr:row>
      <xdr:rowOff>162560</xdr:rowOff>
    </xdr:from>
    <xdr:to>
      <xdr:col>8</xdr:col>
      <xdr:colOff>681990</xdr:colOff>
      <xdr:row>22</xdr:row>
      <xdr:rowOff>18415</xdr:rowOff>
    </xdr:to>
    <xdr:graphicFrame>
      <xdr:nvGraphicFramePr>
        <xdr:cNvPr id="3" name="Chart 2"/>
        <xdr:cNvGraphicFramePr/>
      </xdr:nvGraphicFramePr>
      <xdr:xfrm>
        <a:off x="19050" y="743585"/>
        <a:ext cx="7064375" cy="36658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2</xdr:row>
      <xdr:rowOff>162560</xdr:rowOff>
    </xdr:from>
    <xdr:to>
      <xdr:col>18</xdr:col>
      <xdr:colOff>457200</xdr:colOff>
      <xdr:row>22</xdr:row>
      <xdr:rowOff>18415</xdr:rowOff>
    </xdr:to>
    <xdr:graphicFrame>
      <xdr:nvGraphicFramePr>
        <xdr:cNvPr id="4" name="Chart 3"/>
        <xdr:cNvGraphicFramePr/>
      </xdr:nvGraphicFramePr>
      <xdr:xfrm>
        <a:off x="7169785" y="743585"/>
        <a:ext cx="7277100" cy="36658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554355</xdr:colOff>
      <xdr:row>2</xdr:row>
      <xdr:rowOff>156845</xdr:rowOff>
    </xdr:from>
    <xdr:to>
      <xdr:col>28</xdr:col>
      <xdr:colOff>703580</xdr:colOff>
      <xdr:row>22</xdr:row>
      <xdr:rowOff>10795</xdr:rowOff>
    </xdr:to>
    <xdr:graphicFrame>
      <xdr:nvGraphicFramePr>
        <xdr:cNvPr id="5" name="Chart 4"/>
        <xdr:cNvGraphicFramePr/>
      </xdr:nvGraphicFramePr>
      <xdr:xfrm>
        <a:off x="14544040" y="737870"/>
        <a:ext cx="7737475" cy="3663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146685</xdr:colOff>
      <xdr:row>22</xdr:row>
      <xdr:rowOff>184150</xdr:rowOff>
    </xdr:from>
    <xdr:to>
      <xdr:col>8</xdr:col>
      <xdr:colOff>421640</xdr:colOff>
      <xdr:row>34</xdr:row>
      <xdr:rowOff>51435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Filter-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er-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71645" y="4575175"/>
              <a:ext cx="2551430" cy="2524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149225</xdr:colOff>
      <xdr:row>22</xdr:row>
      <xdr:rowOff>192405</xdr:rowOff>
    </xdr:from>
    <xdr:to>
      <xdr:col>17</xdr:col>
      <xdr:colOff>377825</xdr:colOff>
      <xdr:row>34</xdr:row>
      <xdr:rowOff>149860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03610" y="4583430"/>
              <a:ext cx="2505075" cy="26149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24</xdr:col>
      <xdr:colOff>171450</xdr:colOff>
      <xdr:row>22</xdr:row>
      <xdr:rowOff>193040</xdr:rowOff>
    </xdr:from>
    <xdr:to>
      <xdr:col>27</xdr:col>
      <xdr:colOff>389255</xdr:colOff>
      <xdr:row>34</xdr:row>
      <xdr:rowOff>8890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14085" y="4584065"/>
              <a:ext cx="2494280" cy="2473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43815</xdr:colOff>
      <xdr:row>0</xdr:row>
      <xdr:rowOff>109220</xdr:rowOff>
    </xdr:from>
    <xdr:to>
      <xdr:col>21</xdr:col>
      <xdr:colOff>473075</xdr:colOff>
      <xdr:row>2</xdr:row>
      <xdr:rowOff>132715</xdr:rowOff>
    </xdr:to>
    <xdr:pic>
      <xdr:nvPicPr>
        <xdr:cNvPr id="8" name="Picture 7" descr="World-Health-Organization-WHO-Emblem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5551150" y="109220"/>
          <a:ext cx="1188085" cy="604520"/>
        </a:xfrm>
        <a:prstGeom prst="rect">
          <a:avLst/>
        </a:prstGeom>
      </xdr:spPr>
    </xdr:pic>
    <xdr:clientData/>
  </xdr:twoCellAnchor>
  <xdr:twoCellAnchor editAs="oneCell">
    <xdr:from>
      <xdr:col>7</xdr:col>
      <xdr:colOff>5715</xdr:colOff>
      <xdr:row>0</xdr:row>
      <xdr:rowOff>95250</xdr:rowOff>
    </xdr:from>
    <xdr:to>
      <xdr:col>8</xdr:col>
      <xdr:colOff>431800</xdr:colOff>
      <xdr:row>2</xdr:row>
      <xdr:rowOff>118745</xdr:rowOff>
    </xdr:to>
    <xdr:pic>
      <xdr:nvPicPr>
        <xdr:cNvPr id="9" name="Picture 8" descr="World-Health-Organization-WHO-Emblem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648325" y="95250"/>
          <a:ext cx="1184910" cy="604520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0.36042</cdr:x>
      <cdr:y>0.07514</cdr:y>
    </cdr:from>
    <cdr:to>
      <cdr:x>0.6867</cdr:x>
      <cdr:y>0.14081</cdr:y>
    </cdr:to>
    <cdr:sp>
      <cdr:nvSpPr>
        <cdr:cNvPr id="2" name="Rectangles 1"/>
        <cdr:cNvSpPr/>
      </cdr:nvSpPr>
      <cdr:spPr xmlns:a="http://schemas.openxmlformats.org/drawingml/2006/main">
        <a:xfrm xmlns:a="http://schemas.openxmlformats.org/drawingml/2006/main">
          <a:off x="2411536" y="262576"/>
          <a:ext cx="2183138" cy="229469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/>
        </a:p>
      </cdr:txBody>
    </cdr:sp>
  </cdr:relSizeAnchor>
  <cdr:relSizeAnchor xmlns:cdr="http://schemas.openxmlformats.org/drawingml/2006/chartDrawing">
    <cdr:from>
      <cdr:x>0.158742949234488</cdr:x>
      <cdr:y>0.0400138576130262</cdr:y>
    </cdr:from>
    <cdr:to>
      <cdr:x>0.908944399677679</cdr:x>
      <cdr:y>0.144292395634852</cdr:y>
    </cdr:to>
    <cdr:sp>
      <cdr:nvSpPr>
        <cdr:cNvPr id="3" name="Rectangles 2"/>
        <cdr:cNvSpPr/>
      </cdr:nvSpPr>
      <cdr:spPr xmlns:a="http://schemas.openxmlformats.org/drawingml/2006/main">
        <a:xfrm xmlns:a="http://schemas.openxmlformats.org/drawingml/2006/main">
          <a:off x="1125855" y="146685"/>
          <a:ext cx="5320665" cy="38227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ctr" anchorCtr="0"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2000" b="1">
              <a:solidFill>
                <a:schemeClr val="accent1">
                  <a:lumMod val="5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Regional-Aggregation</a:t>
          </a:r>
          <a:endParaRPr lang="en-IN" altLang="en-US" sz="2000" b="1">
            <a:solidFill>
              <a:schemeClr val="accent1">
                <a:lumMod val="50000"/>
              </a:schemeClr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19</xdr:col>
      <xdr:colOff>612140</xdr:colOff>
      <xdr:row>0</xdr:row>
      <xdr:rowOff>111125</xdr:rowOff>
    </xdr:from>
    <xdr:to>
      <xdr:col>29</xdr:col>
      <xdr:colOff>612140</xdr:colOff>
      <xdr:row>17</xdr:row>
      <xdr:rowOff>168910</xdr:rowOff>
    </xdr:to>
    <xdr:pic>
      <xdr:nvPicPr>
        <xdr:cNvPr id="2" name="Picture 1" descr="World-Health-Organization-WHO-Emblem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947390" y="111125"/>
          <a:ext cx="7620000" cy="405828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2.7115046296" refreshedBy="ritam" recordCount="11">
  <cacheSource type="worksheet">
    <worksheetSource ref="A1:O12" sheet="Raw Data"/>
  </cacheSource>
  <cacheFields count="15">
    <cacheField name="Indicator_ID" numFmtId="0">
      <sharedItems count="2">
        <s v="3.1.2"/>
        <s v="1.1_HALE"/>
      </sharedItems>
    </cacheField>
    <cacheField name="Indicator_Name" numFmtId="0">
      <sharedItems count="2">
        <s v="Proportion of births attended by skilled health personnel"/>
        <s v="Healthy life expectancy (HALE) at birth"/>
      </sharedItems>
    </cacheField>
    <cacheField name="Category" numFmtId="0">
      <sharedItems count="2">
        <s v="RMNCH"/>
        <s v="Life Expectancy"/>
      </sharedItems>
    </cacheField>
    <cacheField name="SDG_Goal" numFmtId="0">
      <sharedItems containsSemiMixedTypes="0" containsString="0" containsNumber="1" containsInteger="1" minValue="0" maxValue="3" count="1">
        <n v="3"/>
      </sharedItems>
    </cacheField>
    <cacheField name="SDG_Target" numFmtId="0">
      <sharedItems containsSemiMixedTypes="0" containsString="0" containsNumber="1" minValue="0" maxValue="3.4" count="2">
        <n v="3.1"/>
        <n v="3.4"/>
      </sharedItems>
    </cacheField>
    <cacheField name="Year" numFmtId="0">
      <sharedItems containsSemiMixedTypes="0" containsString="0" containsNumber="1" containsInteger="1" minValue="0" maxValue="2024" count="4">
        <n v="2024"/>
        <n v="2000"/>
        <n v="2019"/>
        <n v="2021"/>
      </sharedItems>
    </cacheField>
    <cacheField name="Region" numFmtId="0">
      <sharedItems count="7">
        <s v="Global"/>
        <s v="African Region"/>
        <s v="Region of the Americas"/>
        <s v="Eastern Mediterranean Region"/>
        <s v="European Region"/>
        <s v="South-East Asia Region"/>
        <s v="Western Pacific Region"/>
      </sharedItems>
    </cacheField>
    <cacheField name="Value" numFmtId="0">
      <sharedItems containsString="0" containsBlank="1" containsNumber="1" minValue="0" maxValue="63.5" count="4">
        <m/>
        <n v="58.1"/>
        <n v="63.5"/>
        <n v="61.9"/>
      </sharedItems>
    </cacheField>
    <cacheField name="Unit" numFmtId="0">
      <sharedItems count="2">
        <s v="%"/>
        <s v="Years"/>
      </sharedItems>
    </cacheField>
    <cacheField name="Baseline_Year" numFmtId="0">
      <sharedItems containsString="0" containsBlank="1" containsNumber="1" containsInteger="1" minValue="0" maxValue="2000" count="2">
        <m/>
        <n v="2000"/>
      </sharedItems>
    </cacheField>
    <cacheField name="Target_Year" numFmtId="0">
      <sharedItems containsSemiMixedTypes="0" containsString="0" containsNumber="1" containsInteger="1" minValue="0" maxValue="2030" count="1">
        <n v="2030"/>
      </sharedItems>
    </cacheField>
    <cacheField name="Target_Value" numFmtId="0">
      <sharedItems containsString="0" containsBlank="1" containsNonDate="0" count="1">
        <m/>
      </sharedItems>
    </cacheField>
    <cacheField name="Progress_Status" numFmtId="0">
      <sharedItems containsString="0" containsBlank="1" containsNonDate="0" count="1">
        <m/>
      </sharedItems>
    </cacheField>
    <cacheField name="Source" numFmtId="0">
      <sharedItems count="2">
        <s v="World Health Statistics 2025"/>
        <s v="WHO Global health estimates 2021"/>
      </sharedItems>
    </cacheField>
    <cacheField name="Notes" numFmtId="0">
      <sharedItems containsString="0" containsBlank="1" containsNonDate="0" count="1"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0"/>
    <x v="0"/>
    <x v="0"/>
    <x v="0"/>
    <x v="0"/>
    <x v="0"/>
    <x v="0"/>
  </r>
  <r>
    <x v="0"/>
    <x v="0"/>
    <x v="0"/>
    <x v="0"/>
    <x v="0"/>
    <x v="0"/>
    <x v="2"/>
    <x v="0"/>
    <x v="0"/>
    <x v="0"/>
    <x v="0"/>
    <x v="0"/>
    <x v="0"/>
    <x v="0"/>
    <x v="0"/>
  </r>
  <r>
    <x v="0"/>
    <x v="0"/>
    <x v="0"/>
    <x v="0"/>
    <x v="0"/>
    <x v="0"/>
    <x v="3"/>
    <x v="0"/>
    <x v="0"/>
    <x v="0"/>
    <x v="0"/>
    <x v="0"/>
    <x v="0"/>
    <x v="0"/>
    <x v="0"/>
  </r>
  <r>
    <x v="0"/>
    <x v="0"/>
    <x v="0"/>
    <x v="0"/>
    <x v="0"/>
    <x v="0"/>
    <x v="4"/>
    <x v="0"/>
    <x v="0"/>
    <x v="0"/>
    <x v="0"/>
    <x v="0"/>
    <x v="0"/>
    <x v="0"/>
    <x v="0"/>
  </r>
  <r>
    <x v="0"/>
    <x v="0"/>
    <x v="0"/>
    <x v="0"/>
    <x v="0"/>
    <x v="0"/>
    <x v="5"/>
    <x v="0"/>
    <x v="0"/>
    <x v="0"/>
    <x v="0"/>
    <x v="0"/>
    <x v="0"/>
    <x v="0"/>
    <x v="0"/>
  </r>
  <r>
    <x v="0"/>
    <x v="0"/>
    <x v="0"/>
    <x v="0"/>
    <x v="0"/>
    <x v="0"/>
    <x v="6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0"/>
    <x v="1"/>
    <x v="1"/>
    <x v="1"/>
    <x v="0"/>
    <x v="0"/>
    <x v="0"/>
    <x v="1"/>
    <x v="0"/>
  </r>
  <r>
    <x v="1"/>
    <x v="1"/>
    <x v="1"/>
    <x v="0"/>
    <x v="1"/>
    <x v="2"/>
    <x v="0"/>
    <x v="2"/>
    <x v="1"/>
    <x v="1"/>
    <x v="0"/>
    <x v="0"/>
    <x v="0"/>
    <x v="1"/>
    <x v="0"/>
  </r>
  <r>
    <x v="1"/>
    <x v="1"/>
    <x v="1"/>
    <x v="0"/>
    <x v="1"/>
    <x v="3"/>
    <x v="0"/>
    <x v="3"/>
    <x v="1"/>
    <x v="1"/>
    <x v="0"/>
    <x v="0"/>
    <x v="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ategory Tabl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J3:K6" firstHeaderRow="1" firstDataRow="1" firstDataCol="1"/>
  <pivotFields count="15">
    <pivotField dataField="1"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 Indicator Count" fld="0" subtotal="count" baseField="0" baseItem="0"/>
  </dataFields>
  <formats count="23">
    <format dxfId="0">
      <pivotArea field="2" type="button" dataOnly="0" labelOnly="1" outline="0" fieldPosition="0"/>
    </format>
    <format dxfId="1">
      <pivotArea field="2" type="button" dataOnly="0" labelOnly="1" outline="0" fieldPosition="0"/>
    </format>
    <format dxfId="2">
      <pivotArea dataOnly="0" labelOnly="1" fieldPosition="0">
        <references count="1">
          <reference field="2" count="1">
            <x v="0"/>
          </reference>
        </references>
      </pivotArea>
    </format>
    <format dxfId="3">
      <pivotArea collapsedLevelsAreSubtotals="1" fieldPosition="0">
        <references count="1">
          <reference field="2" count="1" selected="0">
            <x v="1"/>
          </reference>
        </references>
      </pivotArea>
    </format>
    <format dxfId="4">
      <pivotArea collapsedLevelsAreSubtotals="1" fieldPosition="0">
        <references count="1">
          <reference field="2" count="1" selected="0">
            <x v="0"/>
          </reference>
        </references>
      </pivotArea>
    </format>
    <format dxfId="5">
      <pivotArea dataOnly="0" labelOnly="1" fieldPosition="0">
        <references count="1">
          <reference field="2" count="1">
            <x v="0"/>
          </reference>
        </references>
      </pivotArea>
    </format>
    <format dxfId="6">
      <pivotArea collapsedLevelsAreSubtotals="1" fieldPosition="0">
        <references count="1">
          <reference field="2" count="1" selected="0">
            <x v="0"/>
          </reference>
        </references>
      </pivotArea>
    </format>
    <format dxfId="7">
      <pivotArea field="2" type="button" dataOnly="0" labelOnly="1" outline="0" fieldPosition="0"/>
    </format>
    <format dxfId="8">
      <pivotArea field="2" type="button" dataOnly="0" labelOnly="1" outline="0" fieldPosition="0"/>
    </format>
    <format dxfId="9">
      <pivotArea type="all" dataOnly="0" outline="0" fieldPosition="0"/>
    </format>
    <format dxfId="10">
      <pivotArea dataOnly="0" labelOnly="1" fieldPosition="0">
        <references count="1">
          <reference field="2" count="1">
            <x v="0"/>
          </reference>
        </references>
      </pivotArea>
    </format>
    <format dxfId="11">
      <pivotArea dataOnly="0" labelOnly="1" fieldPosition="0">
        <references count="1">
          <reference field="2" count="1">
            <x v="1"/>
          </reference>
        </references>
      </pivotArea>
    </format>
    <format dxfId="12">
      <pivotArea collapsedLevelsAreSubtotals="1" fieldPosition="0">
        <references count="1">
          <reference field="2" count="1" selected="0">
            <x v="0"/>
          </reference>
        </references>
      </pivotArea>
    </format>
    <format dxfId="13">
      <pivotArea collapsedLevelsAreSubtotals="1" fieldPosition="0">
        <references count="1">
          <reference field="2" count="1" selected="0">
            <x v="1"/>
          </reference>
        </references>
      </pivotArea>
    </format>
    <format dxfId="14">
      <pivotArea dataOnly="0" labelOnly="1" fieldPosition="0">
        <references count="1">
          <reference field="2" count="1">
            <x v="0"/>
          </reference>
        </references>
      </pivotArea>
    </format>
    <format dxfId="15">
      <pivotArea dataOnly="0" labelOnly="1" fieldPosition="0">
        <references count="1">
          <reference field="2" count="1">
            <x v="0"/>
          </reference>
        </references>
      </pivotArea>
    </format>
    <format dxfId="16">
      <pivotArea dataOnly="0" labelOnly="1" fieldPosition="0">
        <references count="1">
          <reference field="2" count="1">
            <x v="1"/>
          </reference>
        </references>
      </pivotArea>
    </format>
    <format dxfId="17">
      <pivotArea collapsedLevelsAreSubtotals="1" fieldPosition="0">
        <references count="1">
          <reference field="2" count="1" selected="0">
            <x v="0"/>
          </reference>
        </references>
      </pivotArea>
    </format>
    <format dxfId="18">
      <pivotArea collapsedLevelsAreSubtotals="1" fieldPosition="0">
        <references count="1">
          <reference field="2" count="1" selected="0">
            <x v="1"/>
          </reference>
        </references>
      </pivotArea>
    </format>
    <format dxfId="19">
      <pivotArea field="2" type="button" dataOnly="0" labelOnly="1" outline="0" fieldPosition="0"/>
    </format>
    <format dxfId="20">
      <pivotArea type="all" dataOnly="0" outline="0" fieldPosition="0"/>
    </format>
    <format dxfId="21">
      <pivotArea type="all" dataOnly="0" outline="0" fieldPosition="0"/>
    </format>
    <format dxfId="22">
      <pivotArea field="2" type="button" dataOnly="0" labelOnly="1" outline="0" fieldPosition="0"/>
    </format>
  </formats>
  <pivotTableStyleInfo name="PivotStyleMedium6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Regional Tabl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 multipleFieldFilters="0" chartFormat="8">
  <location ref="C3:D11" firstHeaderRow="1" firstDataRow="1" firstDataCol="1"/>
  <pivotFields count="15">
    <pivotField compact="0" outline="0" showAll="0">
      <items count="3"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5">
        <item x="1"/>
        <item x="2"/>
        <item x="3"/>
        <item x="0"/>
        <item t="default"/>
      </items>
    </pivotField>
    <pivotField axis="axisRow" compact="0" outline="0" multipleItemSelectionAllowed="1" showAll="0">
      <items count="8">
        <item x="1"/>
        <item x="3"/>
        <item x="4"/>
        <item x="0"/>
        <item x="2"/>
        <item x="5"/>
        <item x="6"/>
        <item t="default"/>
      </items>
    </pivotField>
    <pivotField dataField="1" compact="0" outline="0" showAll="0">
      <items count="5">
        <item x="1"/>
        <item x="3"/>
        <item x="2"/>
        <item x="0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2">
        <item x="0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Value" fld="7" subtotal="average" baseField="0" baseItem="0"/>
  </dataFields>
  <formats count="63">
    <format dxfId="23">
      <pivotArea collapsedLevelsAreSubtotals="1" fieldPosition="0">
        <references count="1">
          <reference field="6" count="1" selected="0">
            <x v="3"/>
          </reference>
        </references>
      </pivotArea>
    </format>
    <format dxfId="24">
      <pivotArea collapsedLevelsAreSubtotals="1" fieldPosition="0">
        <references count="1">
          <reference field="6" count="1" selected="0">
            <x v="3"/>
          </reference>
        </references>
      </pivotArea>
    </format>
    <format dxfId="25">
      <pivotArea collapsedLevelsAreSubtotals="1" fieldPosition="0">
        <references count="1">
          <reference field="6" count="1" selected="0">
            <x v="3"/>
          </reference>
        </references>
      </pivotArea>
    </format>
    <format dxfId="26">
      <pivotArea collapsedLevelsAreSubtotals="1" fieldPosition="0">
        <references count="1">
          <reference field="6" count="1" selected="0">
            <x v="3"/>
          </reference>
        </references>
      </pivotArea>
    </format>
    <format dxfId="27">
      <pivotArea collapsedLevelsAreSubtotals="1" fieldPosition="0">
        <references count="1">
          <reference field="6" count="1" selected="0">
            <x v="3"/>
          </reference>
        </references>
      </pivotArea>
    </format>
    <format dxfId="28">
      <pivotArea collapsedLevelsAreSubtotals="1" fieldPosition="0">
        <references count="1">
          <reference field="6" count="1" selected="0">
            <x v="3"/>
          </reference>
        </references>
      </pivotArea>
    </format>
    <format dxfId="29">
      <pivotArea grandRow="1" collapsedLevelsAreSubtotals="1" fieldPosition="0"/>
    </format>
    <format dxfId="30">
      <pivotArea grandRow="1" collapsedLevelsAreSubtotals="1" fieldPosition="0"/>
    </format>
    <format dxfId="31">
      <pivotArea grandRow="1" collapsedLevelsAreSubtotals="1" fieldPosition="0"/>
    </format>
    <format dxfId="32">
      <pivotArea grandRow="1" collapsedLevelsAreSubtotals="1" fieldPosition="0"/>
    </format>
    <format dxfId="33">
      <pivotArea grandRow="1" collapsedLevelsAreSubtotals="1" fieldPosition="0"/>
    </format>
    <format dxfId="34">
      <pivotArea grandRow="1" collapsedLevelsAreSubtotals="1" fieldPosition="0"/>
    </format>
    <format dxfId="35">
      <pivotArea field="6" type="button" dataOnly="0" labelOnly="1" outline="0" fieldPosition="0"/>
    </format>
    <format dxfId="36">
      <pivotArea field="6" type="button" dataOnly="0" labelOnly="1" outline="0" fieldPosition="0"/>
    </format>
    <format dxfId="37">
      <pivotArea field="6" type="button" dataOnly="0" labelOnly="1" outline="0" fieldPosition="0"/>
    </format>
    <format dxfId="38">
      <pivotArea field="6" type="button" dataOnly="0" labelOnly="1" outline="0" fieldPosition="0"/>
    </format>
    <format dxfId="39">
      <pivotArea field="6" type="button" dataOnly="0" labelOnly="1" outline="0" fieldPosition="0"/>
    </format>
    <format dxfId="40">
      <pivotArea dataOnly="0" labelOnly="1" fieldPosition="0">
        <references count="1">
          <reference field="6" count="1">
            <x v="0"/>
          </reference>
        </references>
      </pivotArea>
    </format>
    <format dxfId="41">
      <pivotArea dataOnly="0" labelOnly="1" fieldPosition="0">
        <references count="1">
          <reference field="6" count="1">
            <x v="1"/>
          </reference>
        </references>
      </pivotArea>
    </format>
    <format dxfId="42">
      <pivotArea dataOnly="0" labelOnly="1" fieldPosition="0">
        <references count="1">
          <reference field="6" count="1">
            <x v="2"/>
          </reference>
        </references>
      </pivotArea>
    </format>
    <format dxfId="43">
      <pivotArea dataOnly="0" labelOnly="1" fieldPosition="0">
        <references count="1">
          <reference field="6" count="1">
            <x v="3"/>
          </reference>
        </references>
      </pivotArea>
    </format>
    <format dxfId="44">
      <pivotArea dataOnly="0" labelOnly="1" fieldPosition="0">
        <references count="1">
          <reference field="6" count="1">
            <x v="4"/>
          </reference>
        </references>
      </pivotArea>
    </format>
    <format dxfId="45">
      <pivotArea dataOnly="0" labelOnly="1" fieldPosition="0">
        <references count="1">
          <reference field="6" count="1">
            <x v="5"/>
          </reference>
        </references>
      </pivotArea>
    </format>
    <format dxfId="46">
      <pivotArea dataOnly="0" labelOnly="1" fieldPosition="0">
        <references count="1">
          <reference field="6" count="1">
            <x v="6"/>
          </reference>
        </references>
      </pivotArea>
    </format>
    <format dxfId="47">
      <pivotArea collapsedLevelsAreSubtotals="1" fieldPosition="0">
        <references count="1">
          <reference field="6" count="1" selected="0">
            <x v="3"/>
          </reference>
        </references>
      </pivotArea>
    </format>
    <format dxfId="48">
      <pivotArea type="all" dataOnly="0" outline="0" fieldPosition="0"/>
    </format>
    <format dxfId="49">
      <pivotArea dataOnly="0" labelOnly="1" fieldPosition="0">
        <references count="1">
          <reference field="6" count="1">
            <x v="0"/>
          </reference>
        </references>
      </pivotArea>
    </format>
    <format dxfId="50">
      <pivotArea dataOnly="0" labelOnly="1" fieldPosition="0">
        <references count="1">
          <reference field="6" count="1">
            <x v="1"/>
          </reference>
        </references>
      </pivotArea>
    </format>
    <format dxfId="51">
      <pivotArea dataOnly="0" labelOnly="1" fieldPosition="0">
        <references count="1">
          <reference field="6" count="1">
            <x v="2"/>
          </reference>
        </references>
      </pivotArea>
    </format>
    <format dxfId="52">
      <pivotArea dataOnly="0" labelOnly="1" fieldPosition="0">
        <references count="1">
          <reference field="6" count="1">
            <x v="3"/>
          </reference>
        </references>
      </pivotArea>
    </format>
    <format dxfId="53">
      <pivotArea dataOnly="0" labelOnly="1" fieldPosition="0">
        <references count="1">
          <reference field="6" count="1">
            <x v="4"/>
          </reference>
        </references>
      </pivotArea>
    </format>
    <format dxfId="54">
      <pivotArea dataOnly="0" labelOnly="1" fieldPosition="0">
        <references count="1">
          <reference field="6" count="1">
            <x v="5"/>
          </reference>
        </references>
      </pivotArea>
    </format>
    <format dxfId="55">
      <pivotArea dataOnly="0" labelOnly="1" fieldPosition="0">
        <references count="1">
          <reference field="6" count="1">
            <x v="6"/>
          </reference>
        </references>
      </pivotArea>
    </format>
    <format dxfId="56">
      <pivotArea dataOnly="0" labelOnly="1" fieldPosition="0">
        <references count="1">
          <reference field="6" count="1">
            <x v="0"/>
          </reference>
        </references>
      </pivotArea>
    </format>
    <format dxfId="57">
      <pivotArea dataOnly="0" labelOnly="1" fieldPosition="0">
        <references count="1">
          <reference field="6" count="1">
            <x v="1"/>
          </reference>
        </references>
      </pivotArea>
    </format>
    <format dxfId="58">
      <pivotArea dataOnly="0" labelOnly="1" fieldPosition="0">
        <references count="1">
          <reference field="6" count="1">
            <x v="2"/>
          </reference>
        </references>
      </pivotArea>
    </format>
    <format dxfId="59">
      <pivotArea dataOnly="0" labelOnly="1" fieldPosition="0">
        <references count="1">
          <reference field="6" count="1">
            <x v="3"/>
          </reference>
        </references>
      </pivotArea>
    </format>
    <format dxfId="60">
      <pivotArea dataOnly="0" labelOnly="1" fieldPosition="0">
        <references count="1">
          <reference field="6" count="1">
            <x v="4"/>
          </reference>
        </references>
      </pivotArea>
    </format>
    <format dxfId="61">
      <pivotArea dataOnly="0" labelOnly="1" fieldPosition="0">
        <references count="1">
          <reference field="6" count="1">
            <x v="5"/>
          </reference>
        </references>
      </pivotArea>
    </format>
    <format dxfId="62">
      <pivotArea dataOnly="0" labelOnly="1" fieldPosition="0">
        <references count="1">
          <reference field="6" count="1">
            <x v="6"/>
          </reference>
        </references>
      </pivotArea>
    </format>
    <format dxfId="63">
      <pivotArea dataOnly="0" labelOnly="1" fieldPosition="0">
        <references count="1">
          <reference field="6" count="1">
            <x v="0"/>
          </reference>
        </references>
      </pivotArea>
    </format>
    <format dxfId="64">
      <pivotArea dataOnly="0" labelOnly="1" fieldPosition="0">
        <references count="1">
          <reference field="6" count="1">
            <x v="1"/>
          </reference>
        </references>
      </pivotArea>
    </format>
    <format dxfId="65">
      <pivotArea dataOnly="0" labelOnly="1" fieldPosition="0">
        <references count="1">
          <reference field="6" count="1">
            <x v="2"/>
          </reference>
        </references>
      </pivotArea>
    </format>
    <format dxfId="66">
      <pivotArea dataOnly="0" labelOnly="1" fieldPosition="0">
        <references count="1">
          <reference field="6" count="1">
            <x v="3"/>
          </reference>
        </references>
      </pivotArea>
    </format>
    <format dxfId="67">
      <pivotArea dataOnly="0" labelOnly="1" fieldPosition="0">
        <references count="1">
          <reference field="6" count="1">
            <x v="4"/>
          </reference>
        </references>
      </pivotArea>
    </format>
    <format dxfId="68">
      <pivotArea dataOnly="0" labelOnly="1" fieldPosition="0">
        <references count="1">
          <reference field="6" count="1">
            <x v="5"/>
          </reference>
        </references>
      </pivotArea>
    </format>
    <format dxfId="69">
      <pivotArea dataOnly="0" labelOnly="1" fieldPosition="0">
        <references count="1">
          <reference field="6" count="1">
            <x v="6"/>
          </reference>
        </references>
      </pivotArea>
    </format>
    <format dxfId="70">
      <pivotArea dataOnly="0" labelOnly="1" fieldPosition="0">
        <references count="1">
          <reference field="6" count="1">
            <x v="0"/>
          </reference>
        </references>
      </pivotArea>
    </format>
    <format dxfId="71">
      <pivotArea dataOnly="0" labelOnly="1" fieldPosition="0">
        <references count="1">
          <reference field="6" count="1">
            <x v="1"/>
          </reference>
        </references>
      </pivotArea>
    </format>
    <format dxfId="72">
      <pivotArea dataOnly="0" labelOnly="1" fieldPosition="0">
        <references count="1">
          <reference field="6" count="1">
            <x v="2"/>
          </reference>
        </references>
      </pivotArea>
    </format>
    <format dxfId="73">
      <pivotArea dataOnly="0" labelOnly="1" fieldPosition="0">
        <references count="1">
          <reference field="6" count="1">
            <x v="3"/>
          </reference>
        </references>
      </pivotArea>
    </format>
    <format dxfId="74">
      <pivotArea dataOnly="0" labelOnly="1" fieldPosition="0">
        <references count="1">
          <reference field="6" count="1">
            <x v="4"/>
          </reference>
        </references>
      </pivotArea>
    </format>
    <format dxfId="75">
      <pivotArea dataOnly="0" labelOnly="1" fieldPosition="0">
        <references count="1">
          <reference field="6" count="1">
            <x v="5"/>
          </reference>
        </references>
      </pivotArea>
    </format>
    <format dxfId="76">
      <pivotArea dataOnly="0" labelOnly="1" fieldPosition="0">
        <references count="1">
          <reference field="6" count="1">
            <x v="6"/>
          </reference>
        </references>
      </pivotArea>
    </format>
    <format dxfId="77">
      <pivotArea dataOnly="0" labelOnly="1" fieldPosition="0">
        <references count="1">
          <reference field="6" count="1">
            <x v="0"/>
          </reference>
        </references>
      </pivotArea>
    </format>
    <format dxfId="78">
      <pivotArea dataOnly="0" labelOnly="1" fieldPosition="0">
        <references count="1">
          <reference field="6" count="1">
            <x v="1"/>
          </reference>
        </references>
      </pivotArea>
    </format>
    <format dxfId="79">
      <pivotArea dataOnly="0" labelOnly="1" fieldPosition="0">
        <references count="1">
          <reference field="6" count="1">
            <x v="2"/>
          </reference>
        </references>
      </pivotArea>
    </format>
    <format dxfId="80">
      <pivotArea dataOnly="0" labelOnly="1" fieldPosition="0">
        <references count="1">
          <reference field="6" count="1">
            <x v="3"/>
          </reference>
        </references>
      </pivotArea>
    </format>
    <format dxfId="81">
      <pivotArea dataOnly="0" labelOnly="1" fieldPosition="0">
        <references count="1">
          <reference field="6" count="1">
            <x v="4"/>
          </reference>
        </references>
      </pivotArea>
    </format>
    <format dxfId="82">
      <pivotArea dataOnly="0" labelOnly="1" fieldPosition="0">
        <references count="1">
          <reference field="6" count="1">
            <x v="5"/>
          </reference>
        </references>
      </pivotArea>
    </format>
    <format dxfId="83">
      <pivotArea dataOnly="0" labelOnly="1" fieldPosition="0">
        <references count="1">
          <reference field="6" count="1">
            <x v="6"/>
          </reference>
        </references>
      </pivotArea>
    </format>
    <format dxfId="84">
      <pivotArea collapsedLevelsAreSubtotals="1" fieldPosition="0">
        <references count="1">
          <reference field="6" count="1" selected="0">
            <x v="3"/>
          </reference>
        </references>
      </pivotArea>
    </format>
    <format dxfId="85">
      <pivotArea field="6" type="button" dataOnly="0" labelOnly="1" outline="0" fieldPosition="0"/>
    </format>
  </formats>
  <pivotTableStyleInfo name="PivotStyleMedium6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ime Tabl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15:H24" firstHeaderRow="1" firstDataRow="2" firstDataCol="1"/>
  <pivotFields count="15"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axis="axisCol" compact="0" showAll="0">
      <items count="5">
        <item x="1"/>
        <item x="2"/>
        <item x="3"/>
        <item x="0"/>
        <item t="default"/>
      </items>
    </pivotField>
    <pivotField axis="axisRow" compact="0" showAll="0">
      <items count="8">
        <item x="1"/>
        <item x="3"/>
        <item x="4"/>
        <item x="0"/>
        <item x="2"/>
        <item x="5"/>
        <item x="6"/>
        <item t="default"/>
      </items>
    </pivotField>
    <pivotField dataField="1" compact="0" showAll="0">
      <items count="5">
        <item x="1"/>
        <item x="3"/>
        <item x="2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">
        <item x="0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Average Value" fld="7" baseField="0" baseItem="0"/>
  </dataFields>
  <formats count="72">
    <format dxfId="86">
      <pivotArea dataOnly="0" labelOnly="1" fieldPosition="0">
        <references count="1">
          <reference field="6" count="1">
            <x v="0"/>
          </reference>
        </references>
      </pivotArea>
    </format>
    <format dxfId="87">
      <pivotArea dataOnly="0" labelOnly="1" fieldPosition="0">
        <references count="1">
          <reference field="6" count="1">
            <x v="1"/>
          </reference>
        </references>
      </pivotArea>
    </format>
    <format dxfId="88">
      <pivotArea dataOnly="0" labelOnly="1" fieldPosition="0">
        <references count="1">
          <reference field="6" count="1">
            <x v="2"/>
          </reference>
        </references>
      </pivotArea>
    </format>
    <format dxfId="89">
      <pivotArea dataOnly="0" labelOnly="1" fieldPosition="0">
        <references count="1">
          <reference field="6" count="1">
            <x v="3"/>
          </reference>
        </references>
      </pivotArea>
    </format>
    <format dxfId="90">
      <pivotArea dataOnly="0" labelOnly="1" fieldPosition="0">
        <references count="1">
          <reference field="6" count="1">
            <x v="4"/>
          </reference>
        </references>
      </pivotArea>
    </format>
    <format dxfId="91">
      <pivotArea dataOnly="0" labelOnly="1" fieldPosition="0">
        <references count="1">
          <reference field="6" count="1">
            <x v="5"/>
          </reference>
        </references>
      </pivotArea>
    </format>
    <format dxfId="92">
      <pivotArea dataOnly="0" labelOnly="1" fieldPosition="0">
        <references count="1">
          <reference field="6" count="1">
            <x v="6"/>
          </reference>
        </references>
      </pivotArea>
    </format>
    <format dxfId="93">
      <pivotArea collapsedLevelsAreSubtotals="1" fieldPosition="0">
        <references count="1">
          <reference field="6" count="1" selected="0">
            <x v="0"/>
          </reference>
        </references>
      </pivotArea>
    </format>
    <format dxfId="94">
      <pivotArea collapsedLevelsAreSubtotals="1" fieldPosition="0">
        <references count="1">
          <reference field="6" count="1" selected="0">
            <x v="1"/>
          </reference>
        </references>
      </pivotArea>
    </format>
    <format dxfId="95">
      <pivotArea collapsedLevelsAreSubtotals="1" fieldPosition="0">
        <references count="1">
          <reference field="6" count="1" selected="0">
            <x v="2"/>
          </reference>
        </references>
      </pivotArea>
    </format>
    <format dxfId="96">
      <pivotArea collapsedLevelsAreSubtotals="1" fieldPosition="0">
        <references count="1">
          <reference field="6" count="1" selected="0">
            <x v="3"/>
          </reference>
        </references>
      </pivotArea>
    </format>
    <format dxfId="97">
      <pivotArea collapsedLevelsAreSubtotals="1" fieldPosition="0">
        <references count="1">
          <reference field="6" count="1" selected="0">
            <x v="4"/>
          </reference>
        </references>
      </pivotArea>
    </format>
    <format dxfId="98">
      <pivotArea collapsedLevelsAreSubtotals="1" fieldPosition="0">
        <references count="1">
          <reference field="6" count="1" selected="0">
            <x v="5"/>
          </reference>
        </references>
      </pivotArea>
    </format>
    <format dxfId="99">
      <pivotArea collapsedLevelsAreSubtotals="1" fieldPosition="0">
        <references count="1">
          <reference field="6" count="1" selected="0">
            <x v="6"/>
          </reference>
        </references>
      </pivotArea>
    </format>
    <format dxfId="100">
      <pivotArea dataOnly="0" labelOnly="1" grandRow="1" fieldPosition="0"/>
    </format>
    <format dxfId="101">
      <pivotArea grandRow="1" collapsedLevelsAreSubtotals="1" fieldPosition="0"/>
    </format>
    <format dxfId="102">
      <pivotArea type="origin" dataOnly="0" labelOnly="1" outline="0" fieldPosition="0"/>
    </format>
    <format dxfId="103">
      <pivotArea field="5" type="button" dataOnly="0" labelOnly="1" outline="0" fieldPosition="0"/>
    </format>
    <format dxfId="104">
      <pivotArea field="6" type="button" dataOnly="0" labelOnly="1" outline="0" fieldPosition="0"/>
    </format>
    <format dxfId="105">
      <pivotArea dataOnly="0" labelOnly="1" fieldPosition="0">
        <references count="1">
          <reference field="6" count="1">
            <x v="0"/>
          </reference>
        </references>
      </pivotArea>
    </format>
    <format dxfId="106">
      <pivotArea dataOnly="0" labelOnly="1" fieldPosition="0">
        <references count="1">
          <reference field="6" count="1">
            <x v="1"/>
          </reference>
        </references>
      </pivotArea>
    </format>
    <format dxfId="107">
      <pivotArea dataOnly="0" labelOnly="1" fieldPosition="0">
        <references count="1">
          <reference field="6" count="1">
            <x v="2"/>
          </reference>
        </references>
      </pivotArea>
    </format>
    <format dxfId="108">
      <pivotArea dataOnly="0" labelOnly="1" fieldPosition="0">
        <references count="1">
          <reference field="6" count="1">
            <x v="3"/>
          </reference>
        </references>
      </pivotArea>
    </format>
    <format dxfId="109">
      <pivotArea dataOnly="0" labelOnly="1" fieldPosition="0">
        <references count="1">
          <reference field="6" count="1">
            <x v="4"/>
          </reference>
        </references>
      </pivotArea>
    </format>
    <format dxfId="110">
      <pivotArea dataOnly="0" labelOnly="1" fieldPosition="0">
        <references count="1">
          <reference field="6" count="1">
            <x v="5"/>
          </reference>
        </references>
      </pivotArea>
    </format>
    <format dxfId="111">
      <pivotArea dataOnly="0" labelOnly="1" fieldPosition="0">
        <references count="1">
          <reference field="6" count="1">
            <x v="6"/>
          </reference>
        </references>
      </pivotArea>
    </format>
    <format dxfId="112">
      <pivotArea dataOnly="0" labelOnly="1" fieldPosition="0">
        <references count="1">
          <reference field="5" count="1">
            <x v="0"/>
          </reference>
        </references>
      </pivotArea>
    </format>
    <format dxfId="113">
      <pivotArea dataOnly="0" labelOnly="1" fieldPosition="0">
        <references count="1">
          <reference field="5" count="1">
            <x v="1"/>
          </reference>
        </references>
      </pivotArea>
    </format>
    <format dxfId="114">
      <pivotArea dataOnly="0" labelOnly="1" fieldPosition="0">
        <references count="1">
          <reference field="5" count="1">
            <x v="2"/>
          </reference>
        </references>
      </pivotArea>
    </format>
    <format dxfId="115">
      <pivotArea dataOnly="0" labelOnly="1" fieldPosition="0">
        <references count="1">
          <reference field="5" count="1">
            <x v="3"/>
          </reference>
        </references>
      </pivotArea>
    </format>
    <format dxfId="116">
      <pivotArea dataOnly="0" labelOnly="1" grandCol="1" fieldPosition="0"/>
    </format>
    <format dxfId="117">
      <pivotArea collapsedLevelsAreSubtotals="1" fieldPosition="0">
        <references count="1">
          <reference field="6" count="1" selected="0">
            <x v="0"/>
          </reference>
        </references>
      </pivotArea>
    </format>
    <format dxfId="118">
      <pivotArea collapsedLevelsAreSubtotals="1" fieldPosition="0">
        <references count="1">
          <reference field="6" count="1" selected="0">
            <x v="1"/>
          </reference>
        </references>
      </pivotArea>
    </format>
    <format dxfId="119">
      <pivotArea collapsedLevelsAreSubtotals="1" fieldPosition="0">
        <references count="1">
          <reference field="6" count="1" selected="0">
            <x v="2"/>
          </reference>
        </references>
      </pivotArea>
    </format>
    <format dxfId="120">
      <pivotArea collapsedLevelsAreSubtotals="1" fieldPosition="0">
        <references count="1">
          <reference field="6" count="1" selected="0">
            <x v="3"/>
          </reference>
        </references>
      </pivotArea>
    </format>
    <format dxfId="121">
      <pivotArea collapsedLevelsAreSubtotals="1" fieldPosition="0">
        <references count="1">
          <reference field="6" count="1" selected="0">
            <x v="4"/>
          </reference>
        </references>
      </pivotArea>
    </format>
    <format dxfId="122">
      <pivotArea collapsedLevelsAreSubtotals="1" fieldPosition="0">
        <references count="1">
          <reference field="6" count="1" selected="0">
            <x v="5"/>
          </reference>
        </references>
      </pivotArea>
    </format>
    <format dxfId="123">
      <pivotArea collapsedLevelsAreSubtotals="1" fieldPosition="0">
        <references count="1">
          <reference field="6" count="1" selected="0">
            <x v="6"/>
          </reference>
        </references>
      </pivotArea>
    </format>
    <format dxfId="124">
      <pivotArea type="all" dataOnly="0" outline="0" fieldPosition="0"/>
    </format>
    <format dxfId="125">
      <pivotArea dataOnly="0" labelOnly="1" fieldPosition="0">
        <references count="1">
          <reference field="6" count="1">
            <x v="0"/>
          </reference>
        </references>
      </pivotArea>
    </format>
    <format dxfId="126">
      <pivotArea dataOnly="0" labelOnly="1" fieldPosition="0">
        <references count="1">
          <reference field="6" count="1">
            <x v="1"/>
          </reference>
        </references>
      </pivotArea>
    </format>
    <format dxfId="127">
      <pivotArea dataOnly="0" labelOnly="1" fieldPosition="0">
        <references count="1">
          <reference field="6" count="1">
            <x v="2"/>
          </reference>
        </references>
      </pivotArea>
    </format>
    <format dxfId="128">
      <pivotArea dataOnly="0" labelOnly="1" fieldPosition="0">
        <references count="1">
          <reference field="6" count="1">
            <x v="3"/>
          </reference>
        </references>
      </pivotArea>
    </format>
    <format dxfId="129">
      <pivotArea dataOnly="0" labelOnly="1" fieldPosition="0">
        <references count="1">
          <reference field="6" count="1">
            <x v="4"/>
          </reference>
        </references>
      </pivotArea>
    </format>
    <format dxfId="130">
      <pivotArea dataOnly="0" labelOnly="1" fieldPosition="0">
        <references count="1">
          <reference field="6" count="1">
            <x v="5"/>
          </reference>
        </references>
      </pivotArea>
    </format>
    <format dxfId="131">
      <pivotArea dataOnly="0" labelOnly="1" fieldPosition="0">
        <references count="1">
          <reference field="6" count="1">
            <x v="6"/>
          </reference>
        </references>
      </pivotArea>
    </format>
    <format dxfId="132">
      <pivotArea dataOnly="0" labelOnly="1" fieldPosition="0">
        <references count="1">
          <reference field="6" count="1">
            <x v="0"/>
          </reference>
        </references>
      </pivotArea>
    </format>
    <format dxfId="133">
      <pivotArea dataOnly="0" labelOnly="1" fieldPosition="0">
        <references count="1">
          <reference field="6" count="1">
            <x v="1"/>
          </reference>
        </references>
      </pivotArea>
    </format>
    <format dxfId="134">
      <pivotArea dataOnly="0" labelOnly="1" fieldPosition="0">
        <references count="1">
          <reference field="6" count="1">
            <x v="2"/>
          </reference>
        </references>
      </pivotArea>
    </format>
    <format dxfId="135">
      <pivotArea dataOnly="0" labelOnly="1" fieldPosition="0">
        <references count="1">
          <reference field="6" count="1">
            <x v="3"/>
          </reference>
        </references>
      </pivotArea>
    </format>
    <format dxfId="136">
      <pivotArea dataOnly="0" labelOnly="1" fieldPosition="0">
        <references count="1">
          <reference field="6" count="1">
            <x v="4"/>
          </reference>
        </references>
      </pivotArea>
    </format>
    <format dxfId="137">
      <pivotArea dataOnly="0" labelOnly="1" fieldPosition="0">
        <references count="1">
          <reference field="6" count="1">
            <x v="5"/>
          </reference>
        </references>
      </pivotArea>
    </format>
    <format dxfId="138">
      <pivotArea dataOnly="0" labelOnly="1" fieldPosition="0">
        <references count="1">
          <reference field="6" count="1">
            <x v="6"/>
          </reference>
        </references>
      </pivotArea>
    </format>
    <format dxfId="139">
      <pivotArea collapsedLevelsAreSubtotals="1" fieldPosition="0">
        <references count="1">
          <reference field="6" count="1" selected="0">
            <x v="3"/>
          </reference>
        </references>
      </pivotArea>
    </format>
    <format dxfId="140">
      <pivotArea field="6" type="button" dataOnly="0" labelOnly="1" outline="0" fieldPosition="0"/>
    </format>
    <format dxfId="141">
      <pivotArea field="5" type="button" dataOnly="0" labelOnly="1" outline="0" fieldPosition="0"/>
    </format>
    <format dxfId="142">
      <pivotArea dataOnly="0" labelOnly="1" fieldPosition="0">
        <references count="1">
          <reference field="5" count="1">
            <x v="0"/>
          </reference>
        </references>
      </pivotArea>
    </format>
    <format dxfId="143">
      <pivotArea dataOnly="0" labelOnly="1" fieldPosition="0">
        <references count="1">
          <reference field="5" count="1">
            <x v="1"/>
          </reference>
        </references>
      </pivotArea>
    </format>
    <format dxfId="144">
      <pivotArea dataOnly="0" labelOnly="1" fieldPosition="0">
        <references count="1">
          <reference field="5" count="1">
            <x v="2"/>
          </reference>
        </references>
      </pivotArea>
    </format>
    <format dxfId="145">
      <pivotArea dataOnly="0" labelOnly="1" fieldPosition="0">
        <references count="1">
          <reference field="5" count="1">
            <x v="3"/>
          </reference>
        </references>
      </pivotArea>
    </format>
    <format dxfId="146">
      <pivotArea dataOnly="0" labelOnly="1" grandCol="1" fieldPosition="0"/>
    </format>
    <format dxfId="147">
      <pivotArea type="origin" dataOnly="0" labelOnly="1" outline="0" fieldPosition="0"/>
    </format>
    <format dxfId="148">
      <pivotArea field="5" type="button" dataOnly="0" labelOnly="1" outline="0" fieldPosition="0"/>
    </format>
    <format dxfId="149">
      <pivotArea field="6" type="button" dataOnly="0" labelOnly="1" outline="0" fieldPosition="0"/>
    </format>
    <format dxfId="150">
      <pivotArea dataOnly="0" labelOnly="1" fieldPosition="0">
        <references count="1">
          <reference field="5" count="1">
            <x v="0"/>
          </reference>
        </references>
      </pivotArea>
    </format>
    <format dxfId="151">
      <pivotArea dataOnly="0" labelOnly="1" fieldPosition="0">
        <references count="1">
          <reference field="5" count="1">
            <x v="1"/>
          </reference>
        </references>
      </pivotArea>
    </format>
    <format dxfId="152">
      <pivotArea dataOnly="0" labelOnly="1" fieldPosition="0">
        <references count="1">
          <reference field="5" count="1">
            <x v="2"/>
          </reference>
        </references>
      </pivotArea>
    </format>
    <format dxfId="153">
      <pivotArea dataOnly="0" labelOnly="1" fieldPosition="0">
        <references count="1">
          <reference field="5" count="1">
            <x v="3"/>
          </reference>
        </references>
      </pivotArea>
    </format>
    <format dxfId="154">
      <pivotArea dataOnly="0" labelOnly="1" grandCol="1" fieldPosition="0"/>
    </format>
    <format dxfId="155">
      <pivotArea type="all" dataOnly="0" outline="0" fieldPosition="0"/>
    </format>
    <format dxfId="156">
      <pivotArea type="all" dataOnly="0" outline="0" fieldPosition="0"/>
    </format>
    <format dxfId="157">
      <pivotArea type="all" dataOnly="0" outline="0" fieldPosition="0"/>
    </format>
  </formats>
  <pivotTableStyleInfo name="PivotStyleMedium6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5" name="Time Table"/>
  </pivotTables>
  <data>
    <tabular pivotCacheId="1">
      <items count="4">
        <i x="1" s="1"/>
        <i x="2" s="1"/>
        <i x="3" s="1"/>
        <i x="0" s="1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5" name="Category Table"/>
    <pivotTable tabId="5" name="Regional Table"/>
    <pivotTable tabId="5" name="Time Table"/>
  </pivotTables>
  <data>
    <tabular pivotCacheId="1">
      <items count="2">
        <i x="1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5" name="Regional Table"/>
  </pivotTables>
  <data>
    <tabular pivotCacheId="1">
      <items count="7">
        <i x="0" s="1"/>
        <i x="1" s="1" nd="1"/>
        <i x="3" s="1" nd="1"/>
        <i x="4" s="1" nd="1"/>
        <i x="2" s="1" nd="1"/>
        <i x="5" s="1" nd="1"/>
        <i x="6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" cache="Slicer_Year" caption="Year" style="SlicerStyleDark5" rowHeight="225425"/>
  <slicer name="Category" cache="Slicer_Category" caption="Category" style="SlicerStyleDark5" rowHeight="225425"/>
  <slicer name="Filter-Region" cache="Slicer_Region" caption="Region" style="SlicerStyleDark5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vmlDrawing" Target="../drawings/vmlDrawing1.vml"/><Relationship Id="rId4" Type="http://schemas.openxmlformats.org/officeDocument/2006/relationships/pivotTable" Target="../pivotTables/pivotTable3.xml"/><Relationship Id="rId3" Type="http://schemas.openxmlformats.org/officeDocument/2006/relationships/pivotTable" Target="../pivotTables/pivotTable2.xml"/><Relationship Id="rId2" Type="http://schemas.openxmlformats.org/officeDocument/2006/relationships/pivotTable" Target="../pivotTables/pivotTable1.x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F9" sqref="F9"/>
    </sheetView>
  </sheetViews>
  <sheetFormatPr defaultColWidth="8.85185185185185" defaultRowHeight="15"/>
  <cols>
    <col min="1" max="1" width="11.7111111111111" customWidth="1"/>
    <col min="2" max="2" width="55.5703703703704" customWidth="1"/>
    <col min="3" max="3" width="15" customWidth="1"/>
    <col min="4" max="4" width="9.85185185185185" customWidth="1"/>
    <col min="5" max="5" width="11.2814814814815" customWidth="1"/>
    <col min="6" max="6" width="5.14074074074074" customWidth="1"/>
    <col min="7" max="7" width="29.8518518518519" customWidth="1"/>
    <col min="8" max="9" width="6.14074074074074" customWidth="1"/>
    <col min="10" max="10" width="13.7111111111111" customWidth="1"/>
    <col min="11" max="11" width="11.5703703703704" customWidth="1"/>
    <col min="12" max="12" width="12.7111111111111" customWidth="1"/>
    <col min="13" max="13" width="15.1407407407407" customWidth="1"/>
    <col min="14" max="14" width="34.1407407407407" customWidth="1"/>
    <col min="15" max="15" width="6.28148148148148" customWidth="1"/>
  </cols>
  <sheetData>
    <row r="1" spans="1:15">
      <c r="A1" s="85" t="s">
        <v>0</v>
      </c>
      <c r="B1" s="85" t="s">
        <v>1</v>
      </c>
      <c r="C1" s="85" t="s">
        <v>2</v>
      </c>
      <c r="D1" s="85" t="s">
        <v>3</v>
      </c>
      <c r="E1" s="85" t="s">
        <v>4</v>
      </c>
      <c r="F1" s="85" t="s">
        <v>5</v>
      </c>
      <c r="G1" s="85" t="s">
        <v>6</v>
      </c>
      <c r="H1" s="85" t="s">
        <v>7</v>
      </c>
      <c r="I1" s="85" t="s">
        <v>8</v>
      </c>
      <c r="J1" s="85" t="s">
        <v>9</v>
      </c>
      <c r="K1" s="85" t="s">
        <v>10</v>
      </c>
      <c r="L1" s="85" t="s">
        <v>11</v>
      </c>
      <c r="M1" s="85" t="s">
        <v>12</v>
      </c>
      <c r="N1" s="85" t="s">
        <v>13</v>
      </c>
      <c r="O1" s="85" t="s">
        <v>14</v>
      </c>
    </row>
    <row r="2" spans="1:15">
      <c r="A2" s="84" t="s">
        <v>15</v>
      </c>
      <c r="B2" s="84" t="s">
        <v>16</v>
      </c>
      <c r="C2" s="84" t="s">
        <v>17</v>
      </c>
      <c r="D2" s="84">
        <v>3</v>
      </c>
      <c r="E2" s="84">
        <v>3.1</v>
      </c>
      <c r="F2" s="84">
        <v>2024</v>
      </c>
      <c r="G2" s="84" t="s">
        <v>18</v>
      </c>
      <c r="H2" s="84"/>
      <c r="I2" s="84" t="s">
        <v>19</v>
      </c>
      <c r="J2" s="84"/>
      <c r="K2" s="84">
        <v>2030</v>
      </c>
      <c r="L2" s="84"/>
      <c r="M2" s="84"/>
      <c r="N2" s="84" t="s">
        <v>20</v>
      </c>
      <c r="O2" s="84"/>
    </row>
    <row r="3" spans="1:15">
      <c r="A3" s="84" t="s">
        <v>15</v>
      </c>
      <c r="B3" s="84" t="s">
        <v>16</v>
      </c>
      <c r="C3" s="84" t="s">
        <v>17</v>
      </c>
      <c r="D3" s="84">
        <v>3</v>
      </c>
      <c r="E3" s="84">
        <v>3.1</v>
      </c>
      <c r="F3" s="84">
        <v>2024</v>
      </c>
      <c r="G3" s="84" t="s">
        <v>21</v>
      </c>
      <c r="H3" s="84"/>
      <c r="I3" s="84" t="s">
        <v>19</v>
      </c>
      <c r="J3" s="84"/>
      <c r="K3" s="84">
        <v>2030</v>
      </c>
      <c r="L3" s="84"/>
      <c r="M3" s="84"/>
      <c r="N3" s="84" t="s">
        <v>20</v>
      </c>
      <c r="O3" s="84"/>
    </row>
    <row r="4" spans="1:15">
      <c r="A4" s="84" t="s">
        <v>15</v>
      </c>
      <c r="B4" s="84" t="s">
        <v>16</v>
      </c>
      <c r="C4" s="84" t="s">
        <v>17</v>
      </c>
      <c r="D4" s="84">
        <v>3</v>
      </c>
      <c r="E4" s="84">
        <v>3.1</v>
      </c>
      <c r="F4" s="84">
        <v>2024</v>
      </c>
      <c r="G4" s="84" t="s">
        <v>22</v>
      </c>
      <c r="H4" s="84"/>
      <c r="I4" s="84" t="s">
        <v>19</v>
      </c>
      <c r="J4" s="84"/>
      <c r="K4" s="84">
        <v>2030</v>
      </c>
      <c r="L4" s="84"/>
      <c r="M4" s="84"/>
      <c r="N4" s="84" t="s">
        <v>20</v>
      </c>
      <c r="O4" s="84"/>
    </row>
    <row r="5" spans="1:15">
      <c r="A5" s="84" t="s">
        <v>15</v>
      </c>
      <c r="B5" s="84" t="s">
        <v>16</v>
      </c>
      <c r="C5" s="84" t="s">
        <v>17</v>
      </c>
      <c r="D5" s="84">
        <v>3</v>
      </c>
      <c r="E5" s="84">
        <v>3.1</v>
      </c>
      <c r="F5" s="84">
        <v>2024</v>
      </c>
      <c r="G5" s="84" t="s">
        <v>23</v>
      </c>
      <c r="H5" s="84"/>
      <c r="I5" s="84" t="s">
        <v>19</v>
      </c>
      <c r="J5" s="84"/>
      <c r="K5" s="84">
        <v>2030</v>
      </c>
      <c r="L5" s="84"/>
      <c r="M5" s="84"/>
      <c r="N5" s="84" t="s">
        <v>20</v>
      </c>
      <c r="O5" s="84"/>
    </row>
    <row r="6" spans="1:15">
      <c r="A6" s="84" t="s">
        <v>15</v>
      </c>
      <c r="B6" s="84" t="s">
        <v>16</v>
      </c>
      <c r="C6" s="84" t="s">
        <v>17</v>
      </c>
      <c r="D6" s="84">
        <v>3</v>
      </c>
      <c r="E6" s="84">
        <v>3.1</v>
      </c>
      <c r="F6" s="84">
        <v>2024</v>
      </c>
      <c r="G6" s="84" t="s">
        <v>24</v>
      </c>
      <c r="H6" s="84"/>
      <c r="I6" s="84" t="s">
        <v>19</v>
      </c>
      <c r="J6" s="84"/>
      <c r="K6" s="84">
        <v>2030</v>
      </c>
      <c r="L6" s="84"/>
      <c r="M6" s="84"/>
      <c r="N6" s="84" t="s">
        <v>20</v>
      </c>
      <c r="O6" s="84"/>
    </row>
    <row r="7" spans="1:15">
      <c r="A7" s="84" t="s">
        <v>15</v>
      </c>
      <c r="B7" s="84" t="s">
        <v>16</v>
      </c>
      <c r="C7" s="84" t="s">
        <v>17</v>
      </c>
      <c r="D7" s="84">
        <v>3</v>
      </c>
      <c r="E7" s="84">
        <v>3.1</v>
      </c>
      <c r="F7" s="84">
        <v>2024</v>
      </c>
      <c r="G7" s="84" t="s">
        <v>25</v>
      </c>
      <c r="H7" s="84"/>
      <c r="I7" s="84" t="s">
        <v>19</v>
      </c>
      <c r="J7" s="84"/>
      <c r="K7" s="84">
        <v>2030</v>
      </c>
      <c r="L7" s="84"/>
      <c r="M7" s="84"/>
      <c r="N7" s="84" t="s">
        <v>20</v>
      </c>
      <c r="O7" s="84"/>
    </row>
    <row r="8" spans="1:15">
      <c r="A8" s="84" t="s">
        <v>15</v>
      </c>
      <c r="B8" s="84" t="s">
        <v>16</v>
      </c>
      <c r="C8" s="84" t="s">
        <v>17</v>
      </c>
      <c r="D8" s="84">
        <v>3</v>
      </c>
      <c r="E8" s="84">
        <v>3.1</v>
      </c>
      <c r="F8" s="84">
        <v>2024</v>
      </c>
      <c r="G8" s="84" t="s">
        <v>26</v>
      </c>
      <c r="H8" s="84"/>
      <c r="I8" s="84" t="s">
        <v>19</v>
      </c>
      <c r="J8" s="84"/>
      <c r="K8" s="84">
        <v>2030</v>
      </c>
      <c r="L8" s="84"/>
      <c r="M8" s="84"/>
      <c r="N8" s="84" t="s">
        <v>20</v>
      </c>
      <c r="O8" s="84"/>
    </row>
    <row r="9" spans="1:15">
      <c r="A9" s="84" t="s">
        <v>15</v>
      </c>
      <c r="B9" s="84" t="s">
        <v>16</v>
      </c>
      <c r="C9" s="84" t="s">
        <v>17</v>
      </c>
      <c r="D9" s="84">
        <v>3</v>
      </c>
      <c r="E9" s="84">
        <v>3.1</v>
      </c>
      <c r="F9" s="84">
        <v>2024</v>
      </c>
      <c r="G9" s="84" t="s">
        <v>18</v>
      </c>
      <c r="H9" s="84"/>
      <c r="I9" s="84" t="s">
        <v>19</v>
      </c>
      <c r="J9" s="84"/>
      <c r="K9" s="84">
        <v>2030</v>
      </c>
      <c r="L9" s="84"/>
      <c r="M9" s="84"/>
      <c r="N9" s="84" t="s">
        <v>20</v>
      </c>
      <c r="O9" s="84"/>
    </row>
    <row r="10" spans="1:15">
      <c r="A10" s="84" t="s">
        <v>27</v>
      </c>
      <c r="B10" s="84" t="s">
        <v>28</v>
      </c>
      <c r="C10" s="84" t="s">
        <v>29</v>
      </c>
      <c r="D10" s="84">
        <v>3</v>
      </c>
      <c r="E10" s="84">
        <v>3.4</v>
      </c>
      <c r="F10" s="84">
        <v>2000</v>
      </c>
      <c r="G10" s="84" t="s">
        <v>18</v>
      </c>
      <c r="H10" s="84">
        <v>58.1</v>
      </c>
      <c r="I10" s="84" t="s">
        <v>30</v>
      </c>
      <c r="J10" s="84">
        <v>2000</v>
      </c>
      <c r="K10" s="84">
        <v>2030</v>
      </c>
      <c r="L10" s="84"/>
      <c r="M10" s="84"/>
      <c r="N10" s="84" t="s">
        <v>31</v>
      </c>
      <c r="O10" s="84"/>
    </row>
    <row r="11" spans="1:15">
      <c r="A11" s="84" t="s">
        <v>27</v>
      </c>
      <c r="B11" s="84" t="s">
        <v>28</v>
      </c>
      <c r="C11" s="84" t="s">
        <v>29</v>
      </c>
      <c r="D11" s="84">
        <v>3</v>
      </c>
      <c r="E11" s="84">
        <v>3.4</v>
      </c>
      <c r="F11" s="84">
        <v>2019</v>
      </c>
      <c r="G11" s="84" t="s">
        <v>18</v>
      </c>
      <c r="H11" s="84">
        <v>63.5</v>
      </c>
      <c r="I11" s="84" t="s">
        <v>30</v>
      </c>
      <c r="J11" s="84">
        <v>2000</v>
      </c>
      <c r="K11" s="84">
        <v>2030</v>
      </c>
      <c r="L11" s="84"/>
      <c r="M11" s="84"/>
      <c r="N11" s="84" t="s">
        <v>31</v>
      </c>
      <c r="O11" s="84"/>
    </row>
    <row r="12" spans="1:15">
      <c r="A12" s="84" t="s">
        <v>27</v>
      </c>
      <c r="B12" s="84" t="s">
        <v>28</v>
      </c>
      <c r="C12" s="84" t="s">
        <v>29</v>
      </c>
      <c r="D12" s="84">
        <v>3</v>
      </c>
      <c r="E12" s="84">
        <v>3.4</v>
      </c>
      <c r="F12" s="84">
        <v>2021</v>
      </c>
      <c r="G12" s="84" t="s">
        <v>18</v>
      </c>
      <c r="H12" s="84">
        <v>61.9</v>
      </c>
      <c r="I12" s="84" t="s">
        <v>30</v>
      </c>
      <c r="J12" s="84">
        <v>2000</v>
      </c>
      <c r="K12" s="84">
        <v>2030</v>
      </c>
      <c r="L12" s="84"/>
      <c r="M12" s="84"/>
      <c r="N12" s="84" t="s">
        <v>31</v>
      </c>
      <c r="O12" s="84"/>
    </row>
    <row r="13" spans="1:1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</row>
    <row r="14" spans="1:1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selection activeCell="D3" sqref="D3"/>
    </sheetView>
  </sheetViews>
  <sheetFormatPr defaultColWidth="8.85185185185185" defaultRowHeight="15" outlineLevelCol="4"/>
  <cols>
    <col min="1" max="1" width="22.8518518518519" customWidth="1"/>
    <col min="2" max="2" width="99.8518518518518" customWidth="1"/>
    <col min="3" max="3" width="119.422222222222" customWidth="1"/>
    <col min="4" max="4" width="42.4222222222222" customWidth="1"/>
  </cols>
  <sheetData>
    <row r="1" ht="18" spans="1:4">
      <c r="A1" s="71" t="s">
        <v>2</v>
      </c>
      <c r="B1" s="71" t="s">
        <v>32</v>
      </c>
      <c r="C1" s="71" t="s">
        <v>33</v>
      </c>
      <c r="D1" s="71" t="s">
        <v>34</v>
      </c>
    </row>
    <row r="2" spans="1:4">
      <c r="A2" s="72" t="s">
        <v>35</v>
      </c>
      <c r="B2" s="72" t="s">
        <v>36</v>
      </c>
      <c r="C2" s="86" t="s">
        <v>37</v>
      </c>
      <c r="D2" s="73">
        <f>('Raw Data'!H12-'Raw Data'!H10)/'Raw Data'!H10</f>
        <v>0.0654044750430292</v>
      </c>
    </row>
    <row r="3" spans="1:4">
      <c r="A3" s="72"/>
      <c r="B3" s="72" t="s">
        <v>38</v>
      </c>
      <c r="C3" s="86" t="s">
        <v>39</v>
      </c>
      <c r="D3" s="74">
        <f>'Raw Data'!H11-'Raw Data'!H10</f>
        <v>5.4</v>
      </c>
    </row>
    <row r="4" spans="1:4">
      <c r="A4" s="72" t="s">
        <v>40</v>
      </c>
      <c r="B4" s="72" t="s">
        <v>41</v>
      </c>
      <c r="C4" s="86" t="s">
        <v>42</v>
      </c>
      <c r="D4" s="75">
        <f>'Raw Data'!H11-'Raw Data'!H12</f>
        <v>1.6</v>
      </c>
    </row>
    <row r="5" spans="1:4">
      <c r="A5" s="72"/>
      <c r="B5" s="72" t="s">
        <v>43</v>
      </c>
      <c r="C5" s="86" t="s">
        <v>44</v>
      </c>
      <c r="D5" s="76">
        <f>('Raw Data'!H11-'Raw Data'!H12)/'Raw Data'!H11</f>
        <v>0.0251968503937008</v>
      </c>
    </row>
    <row r="6" spans="1:4">
      <c r="A6" s="77" t="s">
        <v>45</v>
      </c>
      <c r="B6" s="77" t="s">
        <v>46</v>
      </c>
      <c r="C6" s="87" t="s">
        <v>47</v>
      </c>
      <c r="D6" s="77" t="str">
        <f>"Goal "&amp;'Raw Data'!D10&amp;", Target "&amp;'Raw Data'!E10</f>
        <v>Goal 3, Target 3.4</v>
      </c>
    </row>
    <row r="7" spans="1:4">
      <c r="A7" s="77"/>
      <c r="B7" s="77" t="s">
        <v>48</v>
      </c>
      <c r="C7" s="87" t="s">
        <v>49</v>
      </c>
      <c r="D7" s="77" t="str">
        <f>"Goal "&amp;'Raw Data'!D8&amp;", Target "&amp;'Raw Data'!E8</f>
        <v>Goal 3, Target 3.1</v>
      </c>
    </row>
    <row r="8" spans="1:4">
      <c r="A8" s="77" t="s">
        <v>50</v>
      </c>
      <c r="B8" s="77" t="s">
        <v>51</v>
      </c>
      <c r="C8" s="87" t="s">
        <v>52</v>
      </c>
      <c r="D8" s="78">
        <f>COUNTBLANK('Raw Data'!H2:H8)/COUNTA('Raw Data'!A2:A8)</f>
        <v>1</v>
      </c>
    </row>
    <row r="9" spans="1:4">
      <c r="A9" s="77"/>
      <c r="B9" s="77" t="s">
        <v>53</v>
      </c>
      <c r="C9" s="87" t="s">
        <v>54</v>
      </c>
      <c r="D9" s="79">
        <f>COUNTBLANK('Raw Data'!H2:H12)</f>
        <v>8</v>
      </c>
    </row>
    <row r="10" spans="1:4">
      <c r="A10" s="77" t="s">
        <v>55</v>
      </c>
      <c r="B10" s="77" t="s">
        <v>56</v>
      </c>
      <c r="C10" s="87" t="s">
        <v>57</v>
      </c>
      <c r="D10" s="80">
        <f>COUNTA(_xlfn.UNIQUE('Raw Data'!G2:G8))</f>
        <v>7</v>
      </c>
    </row>
    <row r="11" spans="1:4">
      <c r="A11" s="77"/>
      <c r="B11" s="77" t="s">
        <v>58</v>
      </c>
      <c r="C11" s="87" t="s">
        <v>59</v>
      </c>
      <c r="D11" s="77" t="str">
        <f>INDEX('Raw Data'!G$2:G$12,_xlfn.XMATCH(MAX('Raw Data'!H$2:H$12),'Raw Data'!H$2:H$12))</f>
        <v>Global</v>
      </c>
    </row>
    <row r="12" spans="1:4">
      <c r="A12" s="77" t="s">
        <v>60</v>
      </c>
      <c r="B12" s="77" t="s">
        <v>61</v>
      </c>
      <c r="C12" s="87" t="s">
        <v>62</v>
      </c>
      <c r="D12" s="81">
        <f>_xlfn.XLOOKUP(1,('Raw Data'!G$2:G$15="Global")*('Raw Data'!F$2:F$15=2021)*('Raw Data'!A$2:A$15="1.1_HALE"),'Raw Data'!H$2:H$15)</f>
        <v>61.9</v>
      </c>
    </row>
    <row r="13" spans="1:4">
      <c r="A13" s="77"/>
      <c r="B13" s="77" t="s">
        <v>63</v>
      </c>
      <c r="C13" s="87" t="s">
        <v>59</v>
      </c>
      <c r="D13" s="77" t="str">
        <f>INDEX('Raw Data'!G$2:G$12,_xlfn.XMATCH(MAX('Raw Data'!H$2:H$12),'Raw Data'!H$2:H$12))</f>
        <v>Global</v>
      </c>
    </row>
    <row r="14" spans="1:4">
      <c r="A14" s="77" t="s">
        <v>64</v>
      </c>
      <c r="B14" s="77" t="s">
        <v>65</v>
      </c>
      <c r="C14" s="87" t="s">
        <v>66</v>
      </c>
      <c r="D14" s="81">
        <f>SUM('Raw Data'!H$2:H$12)</f>
        <v>183.5</v>
      </c>
    </row>
    <row r="15" spans="1:4">
      <c r="A15" s="77"/>
      <c r="B15" s="77" t="s">
        <v>67</v>
      </c>
      <c r="C15" s="87" t="s">
        <v>68</v>
      </c>
      <c r="D15" s="82">
        <f>AVERAGE('Raw Data'!H$2:H$12)</f>
        <v>61.1666666666667</v>
      </c>
    </row>
    <row r="16" spans="1:4">
      <c r="A16" s="77" t="s">
        <v>69</v>
      </c>
      <c r="B16" s="77" t="s">
        <v>70</v>
      </c>
      <c r="C16" s="87" t="s">
        <v>71</v>
      </c>
      <c r="D16" s="77" t="str">
        <f>IF('Raw Data'!K27&gt;='Raw Data'!K25,"Target Met","Target Not Met")</f>
        <v>Target Met</v>
      </c>
    </row>
    <row r="17" spans="1:4">
      <c r="A17" s="77"/>
      <c r="B17" s="77" t="s">
        <v>72</v>
      </c>
      <c r="C17" s="87" t="s">
        <v>73</v>
      </c>
      <c r="D17" s="77" t="str">
        <f>IF((('Raw Data'!H$12-'Raw Data'!H$10)/'Raw Data'!H$10)&gt;0.05,"Significant Growth","Stable/Low Growth")</f>
        <v>Significant Growth</v>
      </c>
    </row>
    <row r="18" spans="1:4">
      <c r="A18" s="77" t="s">
        <v>74</v>
      </c>
      <c r="B18" s="83" t="s">
        <v>75</v>
      </c>
      <c r="C18" s="83" t="s">
        <v>76</v>
      </c>
      <c r="D18" s="77" t="s">
        <v>77</v>
      </c>
    </row>
    <row r="19" spans="1:4">
      <c r="A19" s="77" t="s">
        <v>78</v>
      </c>
      <c r="B19" s="77" t="s">
        <v>79</v>
      </c>
      <c r="C19" s="83" t="s">
        <v>80</v>
      </c>
      <c r="D19" s="77" t="s">
        <v>81</v>
      </c>
    </row>
    <row r="20" spans="1:4">
      <c r="A20" s="77" t="s">
        <v>82</v>
      </c>
      <c r="B20" s="77" t="s">
        <v>83</v>
      </c>
      <c r="C20" s="77" t="s">
        <v>84</v>
      </c>
      <c r="D20" s="77" t="s">
        <v>85</v>
      </c>
    </row>
    <row r="24" spans="5:5">
      <c r="E24" s="84"/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L24"/>
  <sheetViews>
    <sheetView showGridLines="0" workbookViewId="0">
      <selection activeCell="G6" sqref="G6"/>
    </sheetView>
  </sheetViews>
  <sheetFormatPr defaultColWidth="8.85185185185185" defaultRowHeight="15"/>
  <cols>
    <col min="3" max="3" width="30.3333333333333" customWidth="1"/>
    <col min="4" max="4" width="24.5555555555556" customWidth="1"/>
    <col min="5" max="7" width="7.71111111111111"/>
    <col min="8" max="8" width="10.4444444444444" customWidth="1"/>
    <col min="9" max="9" width="6.55555555555556" hidden="1" customWidth="1"/>
    <col min="10" max="10" width="16.4444444444444" customWidth="1"/>
    <col min="11" max="11" width="21.6666666666667" customWidth="1"/>
    <col min="12" max="12" width="17.2814814814815" customWidth="1"/>
  </cols>
  <sheetData>
    <row r="1" ht="18" spans="7:12">
      <c r="G1" s="64"/>
      <c r="K1" s="64"/>
      <c r="L1" s="64"/>
    </row>
    <row r="2" ht="20.25" spans="3:12">
      <c r="C2" s="56" t="s">
        <v>74</v>
      </c>
      <c r="D2" s="56"/>
      <c r="G2" s="65"/>
      <c r="J2" s="56" t="s">
        <v>78</v>
      </c>
      <c r="K2" s="56"/>
      <c r="L2" s="68"/>
    </row>
    <row r="3" spans="3:12">
      <c r="C3" s="57" t="s">
        <v>6</v>
      </c>
      <c r="D3" s="58" t="s">
        <v>86</v>
      </c>
      <c r="G3" s="66"/>
      <c r="J3" s="57" t="s">
        <v>2</v>
      </c>
      <c r="K3" s="57" t="s">
        <v>87</v>
      </c>
      <c r="L3" s="69"/>
    </row>
    <row r="4" spans="3:12">
      <c r="C4" s="59" t="s">
        <v>21</v>
      </c>
      <c r="D4" s="60"/>
      <c r="G4" s="66"/>
      <c r="J4" s="59" t="s">
        <v>29</v>
      </c>
      <c r="K4" s="59">
        <v>3</v>
      </c>
      <c r="L4" s="69"/>
    </row>
    <row r="5" spans="3:12">
      <c r="C5" s="59" t="s">
        <v>23</v>
      </c>
      <c r="D5" s="60"/>
      <c r="G5" s="67"/>
      <c r="J5" s="59" t="s">
        <v>17</v>
      </c>
      <c r="K5" s="59">
        <v>8</v>
      </c>
      <c r="L5" s="70"/>
    </row>
    <row r="6" spans="3:11">
      <c r="C6" s="59" t="s">
        <v>24</v>
      </c>
      <c r="D6" s="60"/>
      <c r="J6" s="63" t="s">
        <v>88</v>
      </c>
      <c r="K6" s="63">
        <v>11</v>
      </c>
    </row>
    <row r="7" spans="3:4">
      <c r="C7" s="59" t="s">
        <v>18</v>
      </c>
      <c r="D7" s="61">
        <v>61.1666666666667</v>
      </c>
    </row>
    <row r="8" spans="3:4">
      <c r="C8" s="59" t="s">
        <v>22</v>
      </c>
      <c r="D8" s="60"/>
    </row>
    <row r="9" spans="3:4">
      <c r="C9" s="59" t="s">
        <v>25</v>
      </c>
      <c r="D9" s="60"/>
    </row>
    <row r="10" spans="3:4">
      <c r="C10" s="59" t="s">
        <v>26</v>
      </c>
      <c r="D10" s="60"/>
    </row>
    <row r="11" spans="3:4">
      <c r="C11" s="62" t="s">
        <v>88</v>
      </c>
      <c r="D11" s="60">
        <v>61.1666666666667</v>
      </c>
    </row>
    <row r="14" ht="20.25" spans="3:8">
      <c r="C14" s="56" t="s">
        <v>82</v>
      </c>
      <c r="D14" s="56"/>
      <c r="E14" s="56"/>
      <c r="F14" s="56"/>
      <c r="G14" s="56"/>
      <c r="H14" s="56"/>
    </row>
    <row r="15" spans="3:8">
      <c r="C15" s="57" t="s">
        <v>89</v>
      </c>
      <c r="D15" s="57" t="s">
        <v>5</v>
      </c>
      <c r="E15" s="57"/>
      <c r="F15" s="57"/>
      <c r="G15" s="57"/>
      <c r="H15" s="57"/>
    </row>
    <row r="16" spans="3:8">
      <c r="C16" s="57" t="s">
        <v>6</v>
      </c>
      <c r="D16" s="57">
        <v>2000</v>
      </c>
      <c r="E16" s="57">
        <v>2019</v>
      </c>
      <c r="F16" s="57">
        <v>2021</v>
      </c>
      <c r="G16" s="57">
        <v>2024</v>
      </c>
      <c r="H16" s="57" t="s">
        <v>88</v>
      </c>
    </row>
    <row r="17" spans="3:8">
      <c r="C17" s="59" t="s">
        <v>21</v>
      </c>
      <c r="D17" s="63"/>
      <c r="E17" s="63"/>
      <c r="F17" s="63"/>
      <c r="G17" s="63"/>
      <c r="H17" s="63"/>
    </row>
    <row r="18" spans="3:8">
      <c r="C18" s="59" t="s">
        <v>23</v>
      </c>
      <c r="D18" s="63"/>
      <c r="E18" s="63"/>
      <c r="F18" s="63"/>
      <c r="G18" s="63"/>
      <c r="H18" s="63"/>
    </row>
    <row r="19" spans="3:8">
      <c r="C19" s="59" t="s">
        <v>24</v>
      </c>
      <c r="D19" s="63"/>
      <c r="E19" s="63"/>
      <c r="F19" s="63"/>
      <c r="G19" s="63"/>
      <c r="H19" s="63"/>
    </row>
    <row r="20" spans="3:8">
      <c r="C20" s="59" t="s">
        <v>18</v>
      </c>
      <c r="D20" s="59">
        <v>58.1</v>
      </c>
      <c r="E20" s="59">
        <v>63.5</v>
      </c>
      <c r="F20" s="59">
        <v>61.9</v>
      </c>
      <c r="G20" s="59"/>
      <c r="H20" s="59">
        <v>183.5</v>
      </c>
    </row>
    <row r="21" spans="3:8">
      <c r="C21" s="59" t="s">
        <v>22</v>
      </c>
      <c r="D21" s="63"/>
      <c r="E21" s="63"/>
      <c r="F21" s="63"/>
      <c r="G21" s="63"/>
      <c r="H21" s="63"/>
    </row>
    <row r="22" spans="3:8">
      <c r="C22" s="59" t="s">
        <v>25</v>
      </c>
      <c r="D22" s="63"/>
      <c r="E22" s="63"/>
      <c r="F22" s="63"/>
      <c r="G22" s="63"/>
      <c r="H22" s="63"/>
    </row>
    <row r="23" spans="3:8">
      <c r="C23" s="59" t="s">
        <v>26</v>
      </c>
      <c r="D23" s="63"/>
      <c r="E23" s="63"/>
      <c r="F23" s="63"/>
      <c r="G23" s="63"/>
      <c r="H23" s="63"/>
    </row>
    <row r="24" spans="3:8">
      <c r="C24" s="63" t="s">
        <v>88</v>
      </c>
      <c r="D24" s="63">
        <v>58.1</v>
      </c>
      <c r="E24" s="63">
        <v>63.5</v>
      </c>
      <c r="F24" s="63">
        <v>61.9</v>
      </c>
      <c r="G24" s="63"/>
      <c r="H24" s="63">
        <v>183.5</v>
      </c>
    </row>
  </sheetData>
  <mergeCells count="3">
    <mergeCell ref="C2:D2"/>
    <mergeCell ref="J2:K2"/>
    <mergeCell ref="C14:H14"/>
  </mergeCells>
  <pageMargins left="0.75" right="0.75" top="1" bottom="1" header="0.5" footer="0.5"/>
  <headerFooter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C32"/>
  <sheetViews>
    <sheetView showGridLines="0" zoomScale="50" zoomScaleNormal="50" workbookViewId="0">
      <selection activeCell="AI64" sqref="AI64"/>
    </sheetView>
  </sheetViews>
  <sheetFormatPr defaultColWidth="8.85185185185185" defaultRowHeight="15"/>
  <cols>
    <col min="2" max="2" width="12.7111111111111"/>
  </cols>
  <sheetData>
    <row r="2" ht="30.75" spans="1:29">
      <c r="A2" s="22" t="s">
        <v>90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</row>
    <row r="23" ht="15.75" spans="2:17">
      <c r="B23" s="24"/>
      <c r="C23" s="24"/>
      <c r="D23" s="24"/>
      <c r="Q23" s="37"/>
    </row>
    <row r="24" ht="27" spans="1:24">
      <c r="A24" s="24"/>
      <c r="B24" s="25" t="s">
        <v>91</v>
      </c>
      <c r="C24" s="26"/>
      <c r="D24" s="26"/>
      <c r="E24" s="34"/>
      <c r="K24" s="40" t="s">
        <v>92</v>
      </c>
      <c r="L24" s="26"/>
      <c r="M24" s="26"/>
      <c r="N24" s="34"/>
      <c r="U24" s="52" t="s">
        <v>93</v>
      </c>
      <c r="V24" s="53"/>
      <c r="W24" s="53"/>
      <c r="X24" s="54"/>
    </row>
    <row r="25" ht="16.5" spans="1:24">
      <c r="A25" s="24"/>
      <c r="B25" s="27">
        <f>Analysis!D11</f>
        <v>61.1666666666667</v>
      </c>
      <c r="C25" s="28"/>
      <c r="D25" s="28"/>
      <c r="E25" s="35"/>
      <c r="K25" s="41">
        <f>Analysis!K6</f>
        <v>11</v>
      </c>
      <c r="L25" s="42"/>
      <c r="M25" s="42"/>
      <c r="N25" s="49"/>
      <c r="U25" s="29">
        <f>Analysis!H24</f>
        <v>183.5</v>
      </c>
      <c r="V25" s="55"/>
      <c r="W25" s="55"/>
      <c r="X25" s="36"/>
    </row>
    <row r="26" ht="15.75" spans="2:24">
      <c r="B26" s="29"/>
      <c r="C26" s="30"/>
      <c r="D26" s="30"/>
      <c r="E26" s="36"/>
      <c r="F26" s="37"/>
      <c r="H26" s="37"/>
      <c r="K26" s="43"/>
      <c r="L26" s="44"/>
      <c r="M26" s="44"/>
      <c r="N26" s="50"/>
      <c r="U26" s="29"/>
      <c r="V26" s="30"/>
      <c r="W26" s="30"/>
      <c r="X26" s="36"/>
    </row>
    <row r="27" ht="15.75" spans="2:24">
      <c r="B27" s="29"/>
      <c r="C27" s="30"/>
      <c r="D27" s="30"/>
      <c r="E27" s="36"/>
      <c r="K27" s="45"/>
      <c r="L27" s="46"/>
      <c r="M27" s="46"/>
      <c r="N27" s="51"/>
      <c r="U27" s="29"/>
      <c r="V27" s="30"/>
      <c r="W27" s="30"/>
      <c r="X27" s="36"/>
    </row>
    <row r="28" ht="15.75" spans="2:24">
      <c r="B28" s="29"/>
      <c r="C28" s="30"/>
      <c r="D28" s="30"/>
      <c r="E28" s="36"/>
      <c r="K28" s="47"/>
      <c r="L28" s="42"/>
      <c r="M28" s="42"/>
      <c r="N28" s="49"/>
      <c r="U28" s="29"/>
      <c r="V28" s="30"/>
      <c r="W28" s="30"/>
      <c r="X28" s="36"/>
    </row>
    <row r="29" ht="16.5" spans="2:24">
      <c r="B29" s="31"/>
      <c r="C29" s="32"/>
      <c r="D29" s="32"/>
      <c r="E29" s="38"/>
      <c r="H29" s="39"/>
      <c r="K29" s="45"/>
      <c r="L29" s="46"/>
      <c r="M29" s="46"/>
      <c r="N29" s="51"/>
      <c r="U29" s="31"/>
      <c r="V29" s="32"/>
      <c r="W29" s="32"/>
      <c r="X29" s="38"/>
    </row>
    <row r="30" ht="26.25" spans="2:23">
      <c r="B30" s="33"/>
      <c r="C30" s="33"/>
      <c r="D30" s="33"/>
      <c r="J30" s="37"/>
      <c r="K30" s="48"/>
      <c r="L30" s="48"/>
      <c r="M30" s="48"/>
      <c r="U30" s="48"/>
      <c r="V30" s="48"/>
      <c r="W30" s="48"/>
    </row>
    <row r="32" spans="8:8">
      <c r="H32" s="37"/>
    </row>
  </sheetData>
  <mergeCells count="7">
    <mergeCell ref="A2:AC2"/>
    <mergeCell ref="B24:E24"/>
    <mergeCell ref="K24:N24"/>
    <mergeCell ref="U24:X24"/>
    <mergeCell ref="B25:E29"/>
    <mergeCell ref="K25:N29"/>
    <mergeCell ref="U25:X29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J53"/>
  <sheetViews>
    <sheetView tabSelected="1" zoomScale="40" zoomScaleNormal="40" workbookViewId="0">
      <selection activeCell="AE31" sqref="AE31"/>
    </sheetView>
  </sheetViews>
  <sheetFormatPr defaultColWidth="8.88888888888889" defaultRowHeight="15"/>
  <cols>
    <col min="1" max="12" width="8.88888888888889" style="1"/>
    <col min="13" max="13" width="18.8888888888889" style="1" customWidth="1"/>
    <col min="14" max="16384" width="8.88888888888889" style="1"/>
  </cols>
  <sheetData>
    <row r="2" ht="27.75" spans="1:19">
      <c r="A2" s="2" t="s">
        <v>94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9"/>
      <c r="O2" s="19"/>
      <c r="P2" s="19"/>
      <c r="Q2" s="19"/>
      <c r="R2" s="19"/>
      <c r="S2" s="21"/>
    </row>
    <row r="4" ht="23.25" spans="1:5">
      <c r="A4" s="3" t="s">
        <v>95</v>
      </c>
      <c r="B4" s="4"/>
      <c r="C4" s="4"/>
      <c r="D4" s="4"/>
      <c r="E4" s="10"/>
    </row>
    <row r="6" ht="18" spans="1:19">
      <c r="A6" s="5" t="s">
        <v>96</v>
      </c>
      <c r="B6" s="6"/>
      <c r="C6" s="7"/>
      <c r="D6" s="7"/>
      <c r="E6" s="7"/>
      <c r="F6" s="7"/>
      <c r="G6" s="7"/>
      <c r="H6" s="7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ht="18" spans="1:19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ht="18" spans="1:19">
      <c r="A8" s="9" t="s">
        <v>97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8"/>
      <c r="R8" s="8"/>
      <c r="S8" s="8"/>
    </row>
    <row r="9" ht="18" spans="1:1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ht="23.25" spans="1:6">
      <c r="A10" s="3" t="s">
        <v>98</v>
      </c>
      <c r="B10" s="10"/>
      <c r="C10" s="10"/>
      <c r="D10" s="10"/>
      <c r="E10" s="10"/>
      <c r="F10" s="10"/>
    </row>
    <row r="12" ht="18" spans="1:19">
      <c r="A12" s="9" t="s">
        <v>99</v>
      </c>
      <c r="B12" s="7"/>
      <c r="C12" s="7"/>
      <c r="D12" s="11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ht="18" spans="1:19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ht="18" spans="1:19">
      <c r="A14" s="9" t="s">
        <v>100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8"/>
      <c r="O14" s="8"/>
      <c r="P14" s="8"/>
      <c r="Q14" s="8"/>
      <c r="R14" s="8"/>
      <c r="S14" s="8"/>
    </row>
    <row r="16" ht="24.75" spans="1:36">
      <c r="A16" s="12" t="s">
        <v>101</v>
      </c>
      <c r="B16" s="4"/>
      <c r="C16" s="4"/>
      <c r="D16" s="4"/>
      <c r="E16" s="4"/>
      <c r="F16" s="4"/>
      <c r="G16" s="4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</row>
    <row r="17" spans="1:36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</row>
    <row r="18" ht="20.25" spans="1:36">
      <c r="A18" s="14" t="s">
        <v>102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13"/>
      <c r="AB18" s="13"/>
      <c r="AC18" s="13"/>
      <c r="AD18" s="13"/>
      <c r="AE18" s="13"/>
      <c r="AF18" s="13"/>
      <c r="AG18" s="13"/>
      <c r="AH18" s="13"/>
      <c r="AI18" s="13"/>
      <c r="AJ18" s="13"/>
    </row>
    <row r="19" ht="18" spans="1:36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13"/>
      <c r="AB19" s="13"/>
      <c r="AC19" s="13"/>
      <c r="AD19" s="13"/>
      <c r="AE19" s="13"/>
      <c r="AF19" s="13"/>
      <c r="AG19" s="13"/>
      <c r="AH19" s="13"/>
      <c r="AI19" s="13"/>
      <c r="AJ19" s="13"/>
    </row>
    <row r="20" ht="20.25" spans="1:36">
      <c r="A20" s="14" t="s">
        <v>103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20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13"/>
      <c r="AB20" s="13"/>
      <c r="AC20" s="13"/>
      <c r="AD20" s="13"/>
      <c r="AE20" s="13"/>
      <c r="AF20" s="13"/>
      <c r="AG20" s="13"/>
      <c r="AH20" s="13"/>
      <c r="AI20" s="13"/>
      <c r="AJ20" s="13"/>
    </row>
    <row r="22" ht="24.75" spans="1:14">
      <c r="A22" s="12" t="s">
        <v>104</v>
      </c>
      <c r="B22" s="3"/>
      <c r="C22" s="3"/>
      <c r="D22" s="3"/>
      <c r="E22" s="3"/>
      <c r="F22" s="4"/>
      <c r="G22" s="13"/>
      <c r="H22" s="13"/>
      <c r="I22" s="13"/>
      <c r="J22" s="13"/>
      <c r="K22" s="13"/>
      <c r="L22" s="13"/>
      <c r="M22" s="13"/>
      <c r="N22" s="13"/>
    </row>
    <row r="23" spans="1:14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ht="20.25" spans="1:14">
      <c r="A24" s="14" t="s">
        <v>105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13"/>
      <c r="M24" s="13"/>
      <c r="N24" s="13"/>
    </row>
    <row r="25" ht="18" spans="1:14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13"/>
      <c r="M25" s="13"/>
      <c r="N25" s="13"/>
    </row>
    <row r="26" ht="20.25" spans="1:14">
      <c r="A26" s="15" t="s">
        <v>106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13"/>
      <c r="M26" s="13"/>
      <c r="N26" s="13"/>
    </row>
    <row r="27" ht="18" spans="1:14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13"/>
      <c r="M27" s="13"/>
      <c r="N27" s="13"/>
    </row>
    <row r="28" ht="20.25" spans="1:14">
      <c r="A28" s="14" t="s">
        <v>107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13"/>
      <c r="M28" s="13"/>
      <c r="N28" s="13"/>
    </row>
    <row r="29" ht="18" spans="1:14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13"/>
      <c r="M29" s="13"/>
      <c r="N29" s="13"/>
    </row>
    <row r="30" ht="20.25" spans="1:14">
      <c r="A30" s="15" t="s">
        <v>108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13"/>
      <c r="M30" s="13"/>
      <c r="N30" s="13"/>
    </row>
    <row r="31" ht="18" spans="1:14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13"/>
      <c r="M31" s="13"/>
      <c r="N31" s="13"/>
    </row>
    <row r="32" ht="20.25" spans="1:14">
      <c r="A32" s="14" t="s">
        <v>109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13"/>
      <c r="M32" s="13"/>
      <c r="N32" s="13"/>
    </row>
    <row r="33" ht="18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13"/>
      <c r="M33" s="13"/>
      <c r="N33" s="13"/>
    </row>
    <row r="34" ht="20.25" spans="1:14">
      <c r="A34" s="15" t="s">
        <v>110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13"/>
      <c r="M34" s="13"/>
      <c r="N34" s="13"/>
    </row>
    <row r="35" ht="18" spans="1:14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13"/>
      <c r="M35" s="13"/>
      <c r="N35" s="13"/>
    </row>
    <row r="36" ht="20.25" spans="1:14">
      <c r="A36" s="14" t="s">
        <v>111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</row>
    <row r="37" ht="18" spans="1:14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13"/>
      <c r="M37" s="13"/>
      <c r="N37" s="13"/>
    </row>
    <row r="38" ht="20.25" spans="1:14">
      <c r="A38" s="15" t="s">
        <v>112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13"/>
      <c r="M38" s="13"/>
      <c r="N38" s="13"/>
    </row>
    <row r="39" ht="18" spans="1:14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13"/>
      <c r="M39" s="13"/>
      <c r="N39" s="13"/>
    </row>
    <row r="40" ht="20.25" spans="1:14">
      <c r="A40" s="14" t="s">
        <v>113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13"/>
      <c r="M40" s="13"/>
      <c r="N40" s="13"/>
    </row>
    <row r="41" ht="18" spans="1:14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13"/>
      <c r="M41" s="13"/>
      <c r="N41" s="13"/>
    </row>
    <row r="42" ht="20.25" spans="1:14">
      <c r="A42" s="15" t="s">
        <v>114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13"/>
      <c r="M42" s="13"/>
      <c r="N42" s="13"/>
    </row>
    <row r="43" ht="18" spans="1:14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13"/>
      <c r="M43" s="13"/>
      <c r="N43" s="13"/>
    </row>
    <row r="44" ht="20.25" spans="1:14">
      <c r="A44" s="14" t="s">
        <v>115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13"/>
      <c r="M44" s="13"/>
      <c r="N44" s="13"/>
    </row>
    <row r="45" ht="18" spans="1:14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13"/>
      <c r="M45" s="13"/>
      <c r="N45" s="13"/>
    </row>
    <row r="46" ht="20.25" spans="1:14">
      <c r="A46" s="15" t="s">
        <v>116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13"/>
      <c r="M46" s="13"/>
      <c r="N46" s="13"/>
    </row>
    <row r="47" ht="18" spans="1:14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13"/>
      <c r="M47" s="13"/>
      <c r="N47" s="13"/>
    </row>
    <row r="48" ht="20.25" spans="1:14">
      <c r="A48" s="14" t="s">
        <v>117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13"/>
      <c r="M48" s="13"/>
      <c r="N48" s="13"/>
    </row>
    <row r="49" ht="18" spans="1:1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13"/>
      <c r="M49" s="13"/>
      <c r="N49" s="13"/>
    </row>
    <row r="50" spans="1:14">
      <c r="A50" s="16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ht="15.75" spans="1:13">
      <c r="A51" s="17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</row>
    <row r="52" ht="15.75" spans="1:1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 ht="15.75" spans="1:13">
      <c r="A53" s="17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</row>
  </sheetData>
  <mergeCells count="1">
    <mergeCell ref="A2:M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Raw Data</vt:lpstr>
      <vt:lpstr>Analytical Roadmap</vt:lpstr>
      <vt:lpstr>Analysis</vt:lpstr>
      <vt:lpstr>Dashboards</vt:lpstr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ritam</dc:creator>
  <cp:lastModifiedBy>ritam</cp:lastModifiedBy>
  <dcterms:created xsi:type="dcterms:W3CDTF">2026-08-19T10:43:00Z</dcterms:created>
  <dcterms:modified xsi:type="dcterms:W3CDTF">2026-08-26T14:32:26Z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